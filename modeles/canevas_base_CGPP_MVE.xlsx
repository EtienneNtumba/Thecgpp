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sheets/sheet11.xml" ContentType="application/vnd.openxmlformats-officedocument.spreadsheetml.worksheet+xml"/>
  <Override PartName="/xl/comments/comment9.xml" ContentType="application/vnd.openxmlformats-officedocument.spreadsheetml.comments+xml"/>
  <Override PartName="/xl/worksheets/sheet12.xml" ContentType="application/vnd.openxmlformats-officedocument.spreadsheetml.worksheet+xml"/>
  <Override PartName="/xl/comments/comment10.xml" ContentType="application/vnd.openxmlformats-officedocument.spreadsheetml.comments+xml"/>
  <Override PartName="/xl/worksheets/sheet13.xml" ContentType="application/vnd.openxmlformats-officedocument.spreadsheetml.worksheet+xml"/>
  <Override PartName="/xl/comments/comment11.xml" ContentType="application/vnd.openxmlformats-officedocument.spreadsheetml.comments+xml"/>
  <Override PartName="/xl/worksheets/sheet14.xml" ContentType="application/vnd.openxmlformats-officedocument.spreadsheetml.worksheet+xml"/>
  <Override PartName="/xl/comments/comment12.xml" ContentType="application/vnd.openxmlformats-officedocument.spreadsheetml.comments+xml"/>
  <Override PartName="/xl/worksheets/sheet15.xml" ContentType="application/vnd.openxmlformats-officedocument.spreadsheetml.worksheet+xml"/>
  <Override PartName="/xl/comments/comment13.xml" ContentType="application/vnd.openxmlformats-officedocument.spreadsheetml.comments+xml"/>
  <Override PartName="/xl/worksheets/sheet16.xml" ContentType="application/vnd.openxmlformats-officedocument.spreadsheetml.worksheet+xml"/>
  <Override PartName="/xl/comments/comment14.xml" ContentType="application/vnd.openxmlformats-officedocument.spreadsheetml.comments+xml"/>
  <Override PartName="/xl/worksheets/sheet17.xml" ContentType="application/vnd.openxmlformats-officedocument.spreadsheetml.worksheet+xml"/>
  <Override PartName="/xl/comments/comment15.xml" ContentType="application/vnd.openxmlformats-officedocument.spreadsheetml.comments+xml"/>
  <Override PartName="/xl/worksheets/sheet18.xml" ContentType="application/vnd.openxmlformats-officedocument.spreadsheetml.worksheet+xml"/>
  <Override PartName="/xl/comments/comment16.xml" ContentType="application/vnd.openxmlformats-officedocument.spreadsheetml.comments+xml"/>
  <Override PartName="/xl/worksheets/sheet19.xml" ContentType="application/vnd.openxmlformats-officedocument.spreadsheetml.worksheet+xml"/>
  <Override PartName="/xl/comments/comment17.xml" ContentType="application/vnd.openxmlformats-officedocument.spreadsheetml.comments+xml"/>
  <Override PartName="/xl/worksheets/sheet20.xml" ContentType="application/vnd.openxmlformats-officedocument.spreadsheetml.worksheet+xml"/>
  <Override PartName="/xl/comments/comment18.xml" ContentType="application/vnd.openxmlformats-officedocument.spreadsheetml.comments+xml"/>
  <Override PartName="/xl/worksheets/sheet21.xml" ContentType="application/vnd.openxmlformats-officedocument.spreadsheetml.worksheet+xml"/>
  <Override PartName="/xl/comments/comment19.xml" ContentType="application/vnd.openxmlformats-officedocument.spreadsheetml.comments+xml"/>
  <Override PartName="/xl/worksheets/sheet22.xml" ContentType="application/vnd.openxmlformats-officedocument.spreadsheetml.worksheet+xml"/>
  <Override PartName="/xl/comments/comment20.xml" ContentType="application/vnd.openxmlformats-officedocument.spreadsheetml.comments+xml"/>
  <Override PartName="/xl/worksheets/sheet23.xml" ContentType="application/vnd.openxmlformats-officedocument.spreadsheetml.worksheet+xml"/>
  <Override PartName="/xl/comments/comment21.xml" ContentType="application/vnd.openxmlformats-officedocument.spreadsheetml.comments+xml"/>
  <Override PartName="/xl/worksheets/sheet24.xml" ContentType="application/vnd.openxmlformats-officedocument.spreadsheetml.worksheet+xml"/>
  <Override PartName="/xl/comments/comment22.xml" ContentType="application/vnd.openxmlformats-officedocument.spreadsheetml.comments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MOI" sheetId="1" state="visible" r:id="rId1"/>
    <sheet xmlns:r="http://schemas.openxmlformats.org/officeDocument/2006/relationships" name="tableau_suivi" sheetId="2" state="visible" r:id="rId2"/>
    <sheet xmlns:r="http://schemas.openxmlformats.org/officeDocument/2006/relationships" name="saisie_hebdo" sheetId="3" state="visible" r:id="rId3"/>
    <sheet xmlns:r="http://schemas.openxmlformats.org/officeDocument/2006/relationships" name="sbc_activites" sheetId="4" state="visible" r:id="rId4"/>
    <sheet xmlns:r="http://schemas.openxmlformats.org/officeDocument/2006/relationships" name="sbc_synthese_as" sheetId="5" state="visible" r:id="rId5"/>
    <sheet xmlns:r="http://schemas.openxmlformats.org/officeDocument/2006/relationships" name="reunions" sheetId="6" state="visible" r:id="rId6"/>
    <sheet xmlns:r="http://schemas.openxmlformats.org/officeDocument/2006/relationships" name="points_action" sheetId="7" state="visible" r:id="rId7"/>
    <sheet xmlns:r="http://schemas.openxmlformats.org/officeDocument/2006/relationships" name="sitrep_notes" sheetId="8" state="visible" r:id="rId8"/>
    <sheet xmlns:r="http://schemas.openxmlformats.org/officeDocument/2006/relationships" name="qc_suivi" sheetId="9" state="visible" r:id="rId9"/>
    <sheet xmlns:r="http://schemas.openxmlformats.org/officeDocument/2006/relationships" name="ref_zones" sheetId="10" state="visible" r:id="rId10"/>
    <sheet xmlns:r="http://schemas.openxmlformats.org/officeDocument/2006/relationships" name="ref_partenaires" sheetId="11" state="visible" r:id="rId11"/>
    <sheet xmlns:r="http://schemas.openxmlformats.org/officeDocument/2006/relationships" name="ref_indicateurs" sheetId="12" state="visible" r:id="rId12"/>
    <sheet xmlns:r="http://schemas.openxmlformats.org/officeDocument/2006/relationships" name="ref_semaines" sheetId="13" state="visible" r:id="rId13"/>
    <sheet xmlns:r="http://schemas.openxmlformats.org/officeDocument/2006/relationships" name="sitrep_meta" sheetId="14" state="visible" r:id="rId14"/>
    <sheet xmlns:r="http://schemas.openxmlformats.org/officeDocument/2006/relationships" name="epi_province" sheetId="15" state="visible" r:id="rId15"/>
    <sheet xmlns:r="http://schemas.openxmlformats.org/officeDocument/2006/relationships" name="epi_zs" sheetId="16" state="visible" r:id="rId16"/>
    <sheet xmlns:r="http://schemas.openxmlformats.org/officeDocument/2006/relationships" name="alertes_province" sheetId="17" state="visible" r:id="rId17"/>
    <sheet xmlns:r="http://schemas.openxmlformats.org/officeDocument/2006/relationships" name="contacts_province" sheetId="18" state="visible" r:id="rId18"/>
    <sheet xmlns:r="http://schemas.openxmlformats.org/officeDocument/2006/relationships" name="labo_province" sheetId="19" state="visible" r:id="rId19"/>
    <sheet xmlns:r="http://schemas.openxmlformats.org/officeDocument/2006/relationships" name="pec_province" sheetId="20" state="visible" r:id="rId20"/>
    <sheet xmlns:r="http://schemas.openxmlformats.org/officeDocument/2006/relationships" name="poe_province" sheetId="21" state="visible" r:id="rId21"/>
    <sheet xmlns:r="http://schemas.openxmlformats.org/officeDocument/2006/relationships" name="sitrep_texte" sheetId="22" state="visible" r:id="rId22"/>
    <sheet xmlns:r="http://schemas.openxmlformats.org/officeDocument/2006/relationships" name="historique" sheetId="23" state="visible" r:id="rId23"/>
    <sheet xmlns:r="http://schemas.openxmlformats.org/officeDocument/2006/relationships" name="autres_epidemies" sheetId="24" state="visible" r:id="rId24"/>
    <sheet xmlns:r="http://schemas.openxmlformats.org/officeDocument/2006/relationships" name="dictionnaire" sheetId="25" state="visible" r:id="rId25"/>
    <sheet xmlns:r="http://schemas.openxmlformats.org/officeDocument/2006/relationships" name="listes" sheetId="26" state="visible" r:id="rId26"/>
  </sheets>
  <definedNames>
    <definedName name="_xlnm._FilterDatabase" localSheetId="24" hidden="1">'dictionnaire'!$A$1:$G$267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"/>
    <numFmt numFmtId="167" formatCode="#,##0.0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color rgb="001F3864"/>
      <sz val="11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7F7F7F"/>
      <sz val="10"/>
    </font>
    <font>
      <name val="Arial"/>
      <color theme="1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DCE6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7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7" fillId="2" borderId="1" pivotButton="0" quotePrefix="0" xfId="0"/>
    <xf numFmtId="0" fontId="7" fillId="3" borderId="1" pivotButton="0" quotePrefix="0" xfId="0"/>
    <xf numFmtId="0" fontId="7" fillId="4" borderId="1" pivotButton="0" quotePrefix="0" xfId="0"/>
    <xf numFmtId="0" fontId="7" fillId="5" borderId="1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4" borderId="1" pivotButton="0" quotePrefix="0" xfId="0"/>
    <xf numFmtId="3" fontId="2" fillId="4" borderId="1" pivotButton="0" quotePrefix="0" xfId="0"/>
    <xf numFmtId="167" fontId="2" fillId="4" borderId="1" pivotButton="0" quotePrefix="0" xfId="0"/>
    <xf numFmtId="9" fontId="2" fillId="4" borderId="1" pivotButton="0" quotePrefix="0" xfId="0"/>
    <xf numFmtId="0" fontId="6" fillId="3" borderId="1" pivotButton="0" quotePrefix="0" xfId="0"/>
    <xf numFmtId="165" fontId="6" fillId="3" borderId="1" pivotButton="0" quotePrefix="0" xfId="0"/>
    <xf numFmtId="166" fontId="6" fillId="4" borderId="1" pivotButton="0" quotePrefix="0" xfId="0"/>
    <xf numFmtId="0" fontId="2" fillId="5" borderId="0" pivotButton="0" quotePrefix="0" xfId="0"/>
    <xf numFmtId="0" fontId="5" fillId="2" borderId="1" pivotButton="0" quotePrefix="0" xfId="0"/>
    <xf numFmtId="0" fontId="2" fillId="0" borderId="1" applyAlignment="1" pivotButton="0" quotePrefix="0" xfId="0">
      <alignment vertical="top" wrapText="1"/>
    </xf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comments/comment1.xml><?xml version="1.0" encoding="utf-8"?>
<comments xmlns="http://schemas.openxmlformats.org/spreadsheetml/2006/main">
  <authors>
    <author>Canevas CGPP</author>
  </authors>
  <commentList>
    <comment ref="A1" authorId="0" shapeId="0">
      <text>
        <t>Année
Type : entier
Obligatoire</t>
      </text>
    </comment>
    <comment ref="B1" authorId="0" shapeId="0">
      <text>
        <t>S36, S37... ou période agrégée (S20-S35)
Type : texte
Obligatoire</t>
      </text>
    </comment>
    <comment ref="C1" authorId="0" shapeId="0">
      <text>
        <t>Numéro de semaine ISO (vide si période agrégée)
Type : entier</t>
      </text>
    </comment>
    <comment ref="D1" authorId="0" shapeId="0">
      <text>
        <t>Premier jour de la période
Type : date
Obligatoire</t>
      </text>
    </comment>
    <comment ref="E1" authorId="0" shapeId="0">
      <text>
        <t>Dernier jour de la période
Type : date
Obligatoire</t>
      </text>
    </comment>
    <comment ref="F1" authorId="0" shapeId="0">
      <text>
        <t>Partenaire
Type : texte
Obligatoire</t>
      </text>
    </comment>
    <comment ref="G1" authorId="0" shapeId="0">
      <text>
        <t>Province
Type : texte
Obligatoire</t>
      </text>
    </comment>
    <comment ref="H1" authorId="0" shapeId="0">
      <text>
        <t>Zone de santé (vide si non ventilé)
Type : texte</t>
      </text>
    </comment>
    <comment ref="I1" authorId="0" shapeId="0">
      <text>
        <t>Identifiant de la matrice maîtresse
Type : texte
Obligatoire</t>
      </text>
    </comment>
    <comment ref="J1" authorId="0" shapeId="0">
      <text>
        <t>Rappel de l'intitulé
Type : texte</t>
      </text>
    </comment>
    <comment ref="K1" authorId="0" shapeId="0">
      <text>
        <t>Catégorie de désagrégation (ex. canal=VAD, sexe=F)
Type : texte</t>
      </text>
    </comment>
    <comment ref="L1" authorId="0" shapeId="0">
      <text>
        <t>Numérateur (ou valeur pour un nombre)
Type : decimal
Obligatoire</t>
      </text>
    </comment>
    <comment ref="M1" authorId="0" shapeId="0">
      <text>
        <t>Dénominateur (pourcentages uniquement)
Type : decimal</t>
      </text>
    </comment>
    <comment ref="N1" authorId="0" shapeId="0">
      <text>
        <t>Valeur calculée par formule (numérateur/dénominateur x 100, ou numérateur)
Type : formule</t>
      </text>
    </comment>
    <comment ref="O1" authorId="0" shapeId="0">
      <text>
        <t>ODK / registre / classeur historique
Type : texte</t>
      </text>
    </comment>
    <comment ref="P1" authorId="0" shapeId="0">
      <text>
        <t>Nom de la personne
Type : texte</t>
      </text>
    </comment>
    <comment ref="Q1" authorId="0" shapeId="0">
      <text>
        <t>Date de saisie
Type : date</t>
      </text>
    </comment>
    <comment ref="R1" authorId="0" shapeId="0">
      <text>
        <t>Remarque
Type : texte</t>
      </text>
    </comment>
    <comment ref="A2" authorId="0" shapeId="0">
      <text>
        <t>Ligne d'exemple montrant le format attendu : la supprimer avant la première saisie réelle.</t>
      </text>
    </comment>
  </commentList>
</comments>
</file>

<file path=xl/comments/comment2.xml><?xml version="1.0" encoding="utf-8"?>
<comments xmlns="http://schemas.openxmlformats.org/spreadsheetml/2006/main">
  <authors>
    <author>Canevas CGPP</author>
  </authors>
  <commentList>
    <comment ref="A1" authorId="0" shapeId="0">
      <text>
        <t>Date de l'activité
Type : date
Obligatoire</t>
      </text>
    </comment>
    <comment ref="B1" authorId="0" shapeId="0">
      <text>
        <t>Partenaire
Type : texte
Obligatoire</t>
      </text>
    </comment>
    <comment ref="C1" authorId="0" shapeId="0">
      <text>
        <t>Province
Type : texte
Obligatoire</t>
      </text>
    </comment>
    <comment ref="D1" authorId="0" shapeId="0">
      <text>
        <t>Zone de santé
Type : texte
Obligatoire</t>
      </text>
    </comment>
    <comment ref="E1" authorId="0" shapeId="0">
      <text>
        <t>Aire de santé
Type : texte
Obligatoire</t>
      </text>
    </comment>
    <comment ref="F1" authorId="0" shapeId="0">
      <text>
        <t>Village / quartier / CAC
Type : texte</t>
      </text>
    </comment>
    <comment ref="G1" authorId="0" shapeId="0">
      <text>
        <t>Type de site visité
Type : texte
Obligatoire</t>
      </text>
    </comment>
    <comment ref="H1" authorId="0" shapeId="0">
      <text>
        <t>Séances prévues
Type : entier</t>
      </text>
    </comment>
    <comment ref="I1" authorId="0" shapeId="0">
      <text>
        <t>Séances réalisées
Type : entier</t>
      </text>
    </comment>
    <comment ref="J1" authorId="0" shapeId="0">
      <text>
        <t>Ménages prévus (porte à porte uniquement)
Type : entier</t>
      </text>
    </comment>
    <comment ref="K1" authorId="0" shapeId="0">
      <text>
        <t>Ménages visités (porte à porte uniquement)
Type : entier</t>
      </text>
    </comment>
    <comment ref="L1" authorId="0" shapeId="0">
      <text>
        <t>Visites à domicile
Type : entier</t>
      </text>
    </comment>
    <comment ref="M1" authorId="0" shapeId="0">
      <text>
        <t>Causeries éducatives
Type : entier</t>
      </text>
    </comment>
    <comment ref="N1" authorId="0" shapeId="0">
      <text>
        <t>Écoute active / négociation
Type : entier</t>
      </text>
    </comment>
    <comment ref="O1" authorId="0" shapeId="0">
      <text>
        <t>Débats / dialogues communautaires
Type : entier</t>
      </text>
    </comment>
    <comment ref="P1" authorId="0" shapeId="0">
      <text>
        <t>Sketchs
Type : entier</t>
      </text>
    </comment>
    <comment ref="Q1" authorId="0" shapeId="0">
      <text>
        <t>Émissions radio
Type : entier</t>
      </text>
    </comment>
    <comment ref="R1" authorId="0" shapeId="0">
      <text>
        <t>Émissions interactives
Type : entier</t>
      </text>
    </comment>
    <comment ref="S1" authorId="0" shapeId="0">
      <text>
        <t>Spots radio
Type : entier</t>
      </text>
    </comment>
    <comment ref="T1" authorId="0" shapeId="0">
      <text>
        <t>Thèmes abordés
Type : texte</t>
      </text>
    </comment>
    <comment ref="U1" authorId="0" shapeId="0">
      <text>
        <t>Personnes sensibilisées : hommes
Type : entier</t>
      </text>
    </comment>
    <comment ref="V1" authorId="0" shapeId="0">
      <text>
        <t>Personnes sensibilisées : femmes
Type : entier</t>
      </text>
    </comment>
    <comment ref="W1" authorId="0" shapeId="0">
      <text>
        <t>Alertes MVE trouvées : malades
Type : entier</t>
      </text>
    </comment>
    <comment ref="X1" authorId="0" shapeId="0">
      <text>
        <t>Alertes MVE trouvées : décès
Type : entier</t>
      </text>
    </comment>
    <comment ref="Y1" authorId="0" shapeId="0">
      <text>
        <t>Alertes malades signalées au CS en 24 h
Type : entier</t>
      </text>
    </comment>
    <comment ref="Z1" authorId="0" shapeId="0">
      <text>
        <t>Alertes décès signalées au CS en 24 h
Type : entier</t>
      </text>
    </comment>
    <comment ref="AA1" authorId="0" shapeId="0">
      <text>
        <t>Alertes investiguées en 24 h
Type : entier</t>
      </text>
    </comment>
    <comment ref="AB1" authorId="0" shapeId="0">
      <text>
        <t>Visiteurs
Type : entier</t>
      </text>
    </comment>
    <comment ref="AC1" authorId="0" shapeId="0">
      <text>
        <t>Village et ZS de provenance
Type : texte</t>
      </text>
    </comment>
    <comment ref="AD1" authorId="0" shapeId="0">
      <text>
        <t>Malades orientés vers une FOSA
Type : entier</t>
      </text>
    </comment>
    <comment ref="AE1" authorId="0" shapeId="0">
      <text>
        <t>Malades arrivés à la FOSA
Type : entier</t>
      </text>
    </comment>
    <comment ref="AF1" authorId="0" shapeId="0">
      <text>
        <t>Malades orientés vers CT/CTE/isolement
Type : entier</t>
      </text>
    </comment>
    <comment ref="AG1" authorId="0" shapeId="0">
      <text>
        <t>Remarque
Type : texte</t>
      </text>
    </comment>
    <comment ref="A2" authorId="0" shapeId="0">
      <text>
        <t>Ligne d'exemple montrant le format attendu : la supprimer avant la première saisie réelle.</t>
      </text>
    </comment>
  </commentList>
</comments>
</file>

<file path=xl/comments/comment3.xml><?xml version="1.0" encoding="utf-8"?>
<comments xmlns="http://schemas.openxmlformats.org/spreadsheetml/2006/main">
  <authors>
    <author>Canevas CGPP</author>
  </authors>
  <commentList>
    <comment ref="A1" authorId="0" shapeId="0">
      <text>
        <t>Date
Type : date
Obligatoire</t>
      </text>
    </comment>
    <comment ref="B1" authorId="0" shapeId="0">
      <text>
        <t>Partenaire
Type : texte
Obligatoire</t>
      </text>
    </comment>
    <comment ref="C1" authorId="0" shapeId="0">
      <text>
        <t>Province
Type : texte
Obligatoire</t>
      </text>
    </comment>
    <comment ref="D1" authorId="0" shapeId="0">
      <text>
        <t>Zone de santé
Type : texte
Obligatoire</t>
      </text>
    </comment>
    <comment ref="E1" authorId="0" shapeId="0">
      <text>
        <t>Aire de santé
Type : texte
Obligatoire</t>
      </text>
    </comment>
    <comment ref="F1" authorId="0" shapeId="0">
      <text>
        <t>RECO et ACSA attendus
Type : entier
Obligatoire</t>
      </text>
    </comment>
    <comment ref="G1" authorId="0" shapeId="0">
      <text>
        <t>RECO et ACSA ayant travaillé
Type : entier
Obligatoire</t>
      </text>
    </comment>
    <comment ref="H1" authorId="0" shapeId="0">
      <text>
        <t>Contacts listés ce jour : hommes
Type : entier</t>
      </text>
    </comment>
    <comment ref="I1" authorId="0" shapeId="0">
      <text>
        <t>Contacts listés ce jour : femmes
Type : entier</t>
      </text>
    </comment>
    <comment ref="J1" authorId="0" shapeId="0">
      <text>
        <t>Contacts sous suivi dans l'AS : hommes
Type : entier</t>
      </text>
    </comment>
    <comment ref="K1" authorId="0" shapeId="0">
      <text>
        <t>Contacts sous suivi dans l'AS : femmes
Type : entier</t>
      </text>
    </comment>
    <comment ref="L1" authorId="0" shapeId="0">
      <text>
        <t>Contacts vus ce jour : hommes
Type : entier</t>
      </text>
    </comment>
    <comment ref="M1" authorId="0" shapeId="0">
      <text>
        <t>Contacts vus ce jour : femmes
Type : entier</t>
      </text>
    </comment>
    <comment ref="N1" authorId="0" shapeId="0">
      <text>
        <t>Contacts avec au moins un signe
Type : entier</t>
      </text>
    </comment>
    <comment ref="O1" authorId="0" shapeId="0">
      <text>
        <t>NOUVEAU : contacts symptomatiques référés en 24 h
Type : entier</t>
      </text>
    </comment>
    <comment ref="P1" authorId="0" shapeId="0">
      <text>
        <t>NOUVEAU : contacts ayant terminé les 21 jours
Type : entier</t>
      </text>
    </comment>
    <comment ref="Q1" authorId="0" shapeId="0">
      <text>
        <t>NOUVEAU : contacts perdus de vue
Type : entier</t>
      </text>
    </comment>
    <comment ref="R1" authorId="0" shapeId="0">
      <text>
        <t>Contacts sensibilisés à la vaccination
Type : entier</t>
      </text>
    </comment>
    <comment ref="S1" authorId="0" shapeId="0">
      <text>
        <t>Contacts vaccinés
Type : entier</t>
      </text>
    </comment>
    <comment ref="T1" authorId="0" shapeId="0">
      <text>
        <t>NOUVEAU : décès communautaires notifiés
Type : entier</t>
      </text>
    </comment>
    <comment ref="U1" authorId="0" shapeId="0">
      <text>
        <t>Décès communautaires prélevés (swab)
Type : entier</t>
      </text>
    </comment>
    <comment ref="V1" authorId="0" shapeId="0">
      <text>
        <t>Décès communautaires avec EDS
Type : entier</t>
      </text>
    </comment>
    <comment ref="W1" authorId="0" shapeId="0">
      <text>
        <t>NOUVEAU : alertes vérifiées par l'ESS/EIR en 24 h
Type : entier</t>
      </text>
    </comment>
    <comment ref="X1" authorId="0" shapeId="0">
      <text>
        <t>Réticences enregistrées
Type : entier</t>
      </text>
    </comment>
    <comment ref="Y1" authorId="0" shapeId="0">
      <text>
        <t>Réticences levées le jour même
Type : entier</t>
      </text>
    </comment>
    <comment ref="Z1" authorId="0" shapeId="0">
      <text>
        <t>NOUVEAU : réticences levées en 48 h
Type : entier</t>
      </text>
    </comment>
    <comment ref="AA1" authorId="0" shapeId="0">
      <text>
        <t>NOUVEAU : rumeurs et préoccupations enregistrées
Type : entier</t>
      </text>
    </comment>
    <comment ref="AB1" authorId="0" shapeId="0">
      <text>
        <t>NOUVEAU : rumeurs traitées en 48 h
Type : entier</t>
      </text>
    </comment>
    <comment ref="AC1" authorId="0" shapeId="0">
      <text>
        <t>NOUVEAU : alertes de santé animale (One Health)
Type : entier</t>
      </text>
    </comment>
    <comment ref="AD1" authorId="0" shapeId="0">
      <text>
        <t>Feedbacks majeurs (un par ligne)
Type : texte</t>
      </text>
    </comment>
    <comment ref="AE1" authorId="0" shapeId="0">
      <text>
        <t>Visa de l'AS (O/N)
Type : texte</t>
      </text>
    </comment>
    <comment ref="AF1" authorId="0" shapeId="0">
      <text>
        <t>Visa du BCZ (O/N)
Type : texte</t>
      </text>
    </comment>
    <comment ref="A2" authorId="0" shapeId="0">
      <text>
        <t>Ligne d'exemple montrant le format attendu : la supprimer avant la première saisie réelle.</t>
      </text>
    </comment>
  </commentList>
</comments>
</file>

<file path=xl/comments/comment4.xml><?xml version="1.0" encoding="utf-8"?>
<comments xmlns="http://schemas.openxmlformats.org/spreadsheetml/2006/main">
  <authors>
    <author>Canevas CGPP</author>
  </authors>
  <commentList>
    <comment ref="A1" authorId="0" shapeId="0">
      <text>
        <t>Identifiant (AAAAMMJJ-niveau-lieu)
Type : texte
Obligatoire</t>
      </text>
    </comment>
    <comment ref="B1" authorId="0" shapeId="0">
      <text>
        <t>Date
Type : date
Obligatoire</t>
      </text>
    </comment>
    <comment ref="C1" authorId="0" shapeId="0">
      <text>
        <t>National / provincial / ZS / pilier / partenaires
Type : texte
Obligatoire</t>
      </text>
    </comment>
    <comment ref="D1" authorId="0" shapeId="0">
      <text>
        <t>Lieu
Type : texte
Obligatoire</t>
      </text>
    </comment>
    <comment ref="E1" authorId="0" shapeId="0">
      <text>
        <t>Objet
Type : texte
Obligatoire</t>
      </text>
    </comment>
    <comment ref="F1" authorId="0" shapeId="0">
      <text>
        <t>Durée en minutes
Type : entier</t>
      </text>
    </comment>
    <comment ref="G1" authorId="0" shapeId="0">
      <text>
        <t>Nombre de participants
Type : entier</t>
      </text>
    </comment>
    <comment ref="H1" authorId="0" shapeId="0">
      <text>
        <t>Représentant CGPP
Type : texte
Obligatoire</t>
      </text>
    </comment>
    <comment ref="I1" authorId="0" shapeId="0">
      <text>
        <t>Compte rendu
Type : texte</t>
      </text>
    </comment>
    <comment ref="J1" authorId="0" shapeId="0">
      <text>
        <t>Liste de présence complète (O/N)
Type : texte</t>
      </text>
    </comment>
    <comment ref="A2" authorId="0" shapeId="0">
      <text>
        <t>Ligne d'exemple montrant le format attendu : la supprimer avant la première saisie réelle.</t>
      </text>
    </comment>
  </commentList>
</comments>
</file>

<file path=xl/comments/comment5.xml><?xml version="1.0" encoding="utf-8"?>
<comments xmlns="http://schemas.openxmlformats.org/spreadsheetml/2006/main">
  <authors>
    <author>Canevas CGPP</author>
  </authors>
  <commentList>
    <comment ref="A1" authorId="0" shapeId="0">
      <text>
        <t>Identifiant
Type : texte
Obligatoire</t>
      </text>
    </comment>
    <comment ref="B1" authorId="0" shapeId="0">
      <text>
        <t>Réunion d'origine
Type : texte
Obligatoire</t>
      </text>
    </comment>
    <comment ref="C1" authorId="0" shapeId="0">
      <text>
        <t>Action à mener
Type : texte
Obligatoire</t>
      </text>
    </comment>
    <comment ref="D1" authorId="0" shapeId="0">
      <text>
        <t>Implique CGPP (O/N)
Type : texte
Obligatoire</t>
      </text>
    </comment>
    <comment ref="E1" authorId="0" shapeId="0">
      <text>
        <t>Responsable
Type : texte</t>
      </text>
    </comment>
    <comment ref="F1" authorId="0" shapeId="0">
      <text>
        <t>Échéance
Type : date</t>
      </text>
    </comment>
    <comment ref="G1" authorId="0" shapeId="0">
      <text>
        <t>À faire / En cours / Réalisé / Abandonné
Type : texte
Obligatoire</t>
      </text>
    </comment>
    <comment ref="H1" authorId="0" shapeId="0">
      <text>
        <t>Date du dernier statut
Type : date</t>
      </text>
    </comment>
    <comment ref="I1" authorId="0" shapeId="0">
      <text>
        <t>Remarque
Type : texte</t>
      </text>
    </comment>
    <comment ref="A2" authorId="0" shapeId="0">
      <text>
        <t>Ligne d'exemple montrant le format attendu : la supprimer avant la première saisie réelle.</t>
      </text>
    </comment>
  </commentList>
</comments>
</file>

<file path=xl/comments/comment6.xml><?xml version="1.0" encoding="utf-8"?>
<comments xmlns="http://schemas.openxmlformats.org/spreadsheetml/2006/main">
  <authors>
    <author>Canevas CGPP</author>
  </authors>
  <commentList>
    <comment ref="A1" authorId="0" shapeId="0">
      <text>
        <t>Date du SitRep concerné
Type : date
Obligatoire</t>
      </text>
    </comment>
    <comment ref="B1" authorId="0" shapeId="0">
      <text>
        <t>Faits marquants / Activités / Sécurité / Défis / Actions / Commentaire
Type : texte
Obligatoire</t>
      </text>
    </comment>
    <comment ref="C1" authorId="0" shapeId="0">
      <text>
        <t>Ordre d'affichage
Type : entier
Obligatoire</t>
      </text>
    </comment>
    <comment ref="D1" authorId="0" shapeId="0">
      <text>
        <t>Texte (une idée par ligne, phrase complète)
Type : texte
Obligatoire</t>
      </text>
    </comment>
    <comment ref="E1" authorId="0" shapeId="0">
      <text>
        <t>Auteur
Type : texte</t>
      </text>
    </comment>
    <comment ref="A2" authorId="0" shapeId="0">
      <text>
        <t>Ligne d'exemple montrant le format attendu : la supprimer avant la première saisie réelle.</t>
      </text>
    </comment>
  </commentList>
</comments>
</file>

<file path=xl/comments/comment7.xml><?xml version="1.0" encoding="utf-8"?>
<comments xmlns="http://schemas.openxmlformats.org/spreadsheetml/2006/main">
  <authors>
    <author>Canevas CGPP</author>
  </authors>
  <commentList>
    <comment ref="A1" authorId="0" shapeId="0">
      <text>
        <t>Identifiant (règle + objet)
Type : texte
Obligatoire</t>
      </text>
    </comment>
    <comment ref="B1" authorId="0" shapeId="0">
      <text>
        <t>Date de détection
Type : date
Obligatoire</t>
      </text>
    </comment>
    <comment ref="C1" authorId="0" shapeId="0">
      <text>
        <t>Règle de contrôle
Type : texte
Obligatoire</t>
      </text>
    </comment>
    <comment ref="D1" authorId="0" shapeId="0">
      <text>
        <t>Source concernée
Type : texte
Obligatoire</t>
      </text>
    </comment>
    <comment ref="E1" authorId="0" shapeId="0">
      <text>
        <t>Élément concerné
Type : texte</t>
      </text>
    </comment>
    <comment ref="F1" authorId="0" shapeId="0">
      <text>
        <t>Description
Type : texte
Obligatoire</t>
      </text>
    </comment>
    <comment ref="G1" authorId="0" shapeId="0">
      <text>
        <t>Critique / Majeure / Mineure
Type : texte
Obligatoire</t>
      </text>
    </comment>
    <comment ref="H1" authorId="0" shapeId="0">
      <text>
        <t>Responsable de la correction
Type : texte</t>
      </text>
    </comment>
    <comment ref="I1" authorId="0" shapeId="0">
      <text>
        <t>Ouverte / Corrigée / Acceptée
Type : texte
Obligatoire</t>
      </text>
    </comment>
    <comment ref="J1" authorId="0" shapeId="0">
      <text>
        <t>Date de résolution
Type : date</t>
      </text>
    </comment>
    <comment ref="A2" authorId="0" shapeId="0">
      <text>
        <t>Ligne d'exemple montrant le format attendu : la supprimer avant la première saisie réelle.</t>
      </text>
    </comment>
  </commentList>
</comments>
</file>

<file path=xl/comments/comment8.xml><?xml version="1.0" encoding="utf-8"?>
<comments xmlns="http://schemas.openxmlformats.org/spreadsheetml/2006/main">
  <authors>
    <author>Canevas CGPP</author>
  </authors>
  <commentList>
    <comment ref="A1" authorId="0" shapeId="0">
      <text>
        <t>Province (nom canonique)
Type : texte
Obligatoire</t>
      </text>
    </comment>
    <comment ref="B1" authorId="0" shapeId="0">
      <text>
        <t>Zone de santé (nom canonique du SitRep national)
Type : texte
Obligatoire</t>
      </text>
    </comment>
    <comment ref="C1" authorId="0" shapeId="0">
      <text>
        <t>Code ou UID DHIS2 de la ZS (à compléter)
Type : texte</t>
      </text>
    </comment>
    <comment ref="D1" authorId="0" shapeId="0">
      <text>
        <t>Partenaire CGPP intervenant dans la ZS
Type : texte</t>
      </text>
    </comment>
    <comment ref="E1" authorId="0" shapeId="0">
      <text>
        <t>Intervention / préparation / hors zone CGPP
Type : texte</t>
      </text>
    </comment>
    <comment ref="F1" authorId="0" shapeId="0">
      <text>
        <t>Population de la ZS (dénominateur des taux)
Type : entier</t>
      </text>
    </comment>
    <comment ref="G1" authorId="0" shapeId="0">
      <text>
        <t>Origine de la ligne
Type : texte</t>
      </text>
    </comment>
  </commentList>
</comments>
</file>

<file path=xl/comments/comment9.xml><?xml version="1.0" encoding="utf-8"?>
<comments xmlns="http://schemas.openxmlformats.org/spreadsheetml/2006/main">
  <authors>
    <author>Canevas CGPP</author>
  </authors>
  <commentList>
    <comment ref="A1" authorId="0" shapeId="0">
      <text>
        <t>Code court du partenaire
Type : texte
Obligatoire</t>
      </text>
    </comment>
    <comment ref="B1" authorId="0" shapeId="0">
      <text>
        <t>Nom complet
Type : texte
Obligatoire</t>
      </text>
    </comment>
    <comment ref="C1" authorId="0" shapeId="0">
      <text>
        <t>Rôle dans le consortium
Type : texte</t>
      </text>
    </comment>
    <comment ref="D1" authorId="0" shapeId="0">
      <text>
        <t>Provinces couvertes
Type : texte</t>
      </text>
    </comment>
    <comment ref="E1" authorId="0" shapeId="0">
      <text>
        <t>Point focal données
Type : texte</t>
      </text>
    </comment>
    <comment ref="F1" authorId="0" shapeId="0">
      <text>
        <t>Courriel du point focal
Type : texte</t>
      </text>
    </comment>
  </commentList>
</comments>
</file>

<file path=xl/comments/comment10.xml><?xml version="1.0" encoding="utf-8"?>
<comments xmlns="http://schemas.openxmlformats.org/spreadsheetml/2006/main">
  <authors>
    <author>Canevas CGPP</author>
  </authors>
  <commentList>
    <comment ref="A1" authorId="0" shapeId="0">
      <text>
        <t>Identifiant stable (texte, ex. SURV.05)
Type : texte
Obligatoire</t>
      </text>
    </comment>
    <comment ref="B1" authorId="0" shapeId="0">
      <text>
        <t>Pilier du plan de travail DOS
Type : texte
Obligatoire</t>
      </text>
    </comment>
    <comment ref="C1" authorId="0" shapeId="0">
      <text>
        <t>Intitulé en français
Type : texte
Obligatoire</t>
      </text>
    </comment>
    <comment ref="D1" authorId="0" shapeId="0">
      <text>
        <t>Intitulé en anglais (rapport DOS)
Type : texte</t>
      </text>
    </comment>
    <comment ref="E1" authorId="0" shapeId="0">
      <text>
        <t>Nombre / Pourcentage / Délai
Type : texte
Obligatoire</t>
      </text>
    </comment>
    <comment ref="F1" authorId="0" shapeId="0">
      <text>
        <t>Tier 1 (performance) / Tier 2 (extrant) / Contexte
Type : texte</t>
      </text>
    </comment>
    <comment ref="G1" authorId="0" shapeId="0">
      <text>
        <t>Définition du numérateur
Type : texte
Obligatoire</t>
      </text>
    </comment>
    <comment ref="H1" authorId="0" shapeId="0">
      <text>
        <t>Définition du dénominateur (N/A pour un nombre)
Type : texte</t>
      </text>
    </comment>
    <comment ref="I1" authorId="0" shapeId="0">
      <text>
        <t>Source primaire
Type : texte
Obligatoire</t>
      </text>
    </comment>
    <comment ref="J1" authorId="0" shapeId="0">
      <text>
        <t>Champ(s) de la fiche SBC / ODK / SitRep
Type : texte</t>
      </text>
    </comment>
    <comment ref="K1" authorId="0" shapeId="0">
      <text>
        <t>Fréquence de rapportage
Type : texte
Obligatoire</t>
      </text>
    </comment>
    <comment ref="L1" authorId="0" shapeId="0">
      <text>
        <t>Désagrégations requises
Type : texte</t>
      </text>
    </comment>
    <comment ref="M1" authorId="0" shapeId="0">
      <text>
        <t>Cible du plan de travail DOS
Type : texte</t>
      </text>
    </comment>
    <comment ref="N1" authorId="0" shapeId="0">
      <text>
        <t>Cible de la Tranche 5
Type : texte</t>
      </text>
    </comment>
    <comment ref="O1" authorId="0" shapeId="0">
      <text>
        <t>Cible DOS en nombre (pour les calculs ; % en points)
Type : decimal</t>
      </text>
    </comment>
    <comment ref="P1" authorId="0" shapeId="0">
      <text>
        <t>Cible Tranche 5 en nombre
Type : decimal</t>
      </text>
    </comment>
    <comment ref="Q1" authorId="0" shapeId="0">
      <text>
        <t>Seuil de performance (code couleur)
Type : texte</t>
      </text>
    </comment>
    <comment ref="R1" authorId="0" shapeId="0">
      <text>
        <t>Numéro dans la matrice de Dr Barclay
Type : texte</t>
      </text>
    </comment>
    <comment ref="S1" authorId="0" shapeId="0">
      <text>
        <t>Rang dans le cadre global (1 à 25)
Type : texte</t>
      </text>
    </comment>
    <comment ref="T1" authorId="0" shapeId="0">
      <text>
        <t>existant / à corriger / nouveau
Type : texte
Obligatoire</t>
      </text>
    </comment>
    <comment ref="U1" authorId="0" shapeId="0">
      <text>
        <t>Priorité de mise en oeuvre (1 à 3)
Type : texte</t>
      </text>
    </comment>
    <comment ref="V1" authorId="0" shapeId="0">
      <text>
        <t>Remarques, écarts relevés
Type : texte</t>
      </text>
    </comment>
  </commentList>
</comments>
</file>

<file path=xl/comments/comment11.xml><?xml version="1.0" encoding="utf-8"?>
<comments xmlns="http://schemas.openxmlformats.org/spreadsheetml/2006/main">
  <authors>
    <author>Canevas CGPP</author>
  </authors>
  <commentList>
    <comment ref="A1" authorId="0" shapeId="0">
      <text>
        <t>Année ISO
Type : entier
Obligatoire</t>
      </text>
    </comment>
    <comment ref="B1" authorId="0" shapeId="0">
      <text>
        <t>Numéro de semaine ISO
Type : entier
Obligatoire</t>
      </text>
    </comment>
    <comment ref="C1" authorId="0" shapeId="0">
      <text>
        <t>Lundi
Type : date
Obligatoire</t>
      </text>
    </comment>
    <comment ref="D1" authorId="0" shapeId="0">
      <text>
        <t>Dimanche
Type : date
Obligatoire</t>
      </text>
    </comment>
    <comment ref="E1" authorId="0" shapeId="0">
      <text>
        <t>Libellé affiché
Type : texte
Obligatoire</t>
      </text>
    </comment>
  </commentList>
</comments>
</file>

<file path=xl/comments/comment12.xml><?xml version="1.0" encoding="utf-8"?>
<comments xmlns="http://schemas.openxmlformats.org/spreadsheetml/2006/main">
  <authors>
    <author>Canevas CGPP</author>
  </authors>
  <commentList>
    <comment ref="A1" authorId="0" shapeId="0">
      <text>
        <t>Numéro du SitRep national
Type : entier
Obligatoire</t>
      </text>
    </comment>
    <comment ref="B1" authorId="0" shapeId="0">
      <text>
        <t>Date des données
Type : date
Obligatoire</t>
      </text>
    </comment>
    <comment ref="C1" authorId="0" shapeId="0">
      <text>
        <t>Date de publication
Type : date</t>
      </text>
    </comment>
    <comment ref="D1" authorId="0" shapeId="0">
      <text>
        <t>Fichier d'origine
Type : texte
Obligatoire</t>
      </text>
    </comment>
    <comment ref="E1" authorId="0" shapeId="0">
      <text>
        <t>Cumul des cas confirmés (encadré)
Type : entier
Obligatoire</t>
      </text>
    </comment>
    <comment ref="F1" authorId="0" shapeId="0">
      <text>
        <t>Cumul des décès confirmés (encadré)
Type : entier
Obligatoire</t>
      </text>
    </comment>
    <comment ref="G1" authorId="0" shapeId="0">
      <text>
        <t>Cumul des guéris (encadré)
Type : entier</t>
      </text>
    </comment>
    <comment ref="H1" authorId="0" shapeId="0">
      <text>
        <t>Taux de suivi des contacts du jour (%)
Type : decimal</t>
      </text>
    </comment>
    <comment ref="I1" authorId="0" shapeId="0">
      <text>
        <t>Létalité publiée (%)
Type : decimal</t>
      </text>
    </comment>
    <comment ref="J1" authorId="0" shapeId="0">
      <text>
        <t>Patients en isolement / CTE (encadré)
Type : entier</t>
      </text>
    </comment>
    <comment ref="K1" authorId="0" shapeId="0">
      <text>
        <t>Aires de santé touchées
Type : entier</t>
      </text>
    </comment>
    <comment ref="L1" authorId="0" shapeId="0">
      <text>
        <t>Total des aires de santé
Type : entier</t>
      </text>
    </comment>
    <comment ref="M1" authorId="0" shapeId="0">
      <text>
        <t>Nouveaux cas confirmés (faits saillants)
Type : entier</t>
      </text>
    </comment>
    <comment ref="N1" authorId="0" shapeId="0">
      <text>
        <t>Décès communautaires du jour
Type : entier</t>
      </text>
    </comment>
    <comment ref="O1" authorId="0" shapeId="0">
      <text>
        <t>Décès dans les CTE du jour
Type : entier</t>
      </text>
    </comment>
    <comment ref="P1" authorId="0" shapeId="0">
      <text>
        <t>Guéris du jour (résumé)
Type : entier</t>
      </text>
    </comment>
    <comment ref="Q1" authorId="0" shapeId="0">
      <text>
        <t>Échantillons analysés (faits saillants)
Type : entier</t>
      </text>
    </comment>
    <comment ref="R1" authorId="0" shapeId="0">
      <text>
        <t>Texte des faits saillants
Type : texte</t>
      </text>
    </comment>
    <comment ref="S1" authorId="0" shapeId="0">
      <text>
        <t>Date de l'extraction
Type : date
Obligatoire</t>
      </text>
    </comment>
  </commentList>
</comments>
</file>

<file path=xl/comments/comment13.xml><?xml version="1.0" encoding="utf-8"?>
<comments xmlns="http://schemas.openxmlformats.org/spreadsheetml/2006/main">
  <authors>
    <author>Canevas CGPP</author>
  </authors>
  <commentList>
    <comment ref="A1" authorId="0" shapeId="0">
      <text>
        <t>Numéro du SitRep
Type : entier
Obligatoire</t>
      </text>
    </comment>
    <comment ref="B1" authorId="0" shapeId="0">
      <text>
        <t>Date des données
Type : date
Obligatoire</t>
      </text>
    </comment>
    <comment ref="C1" authorId="0" shapeId="0">
      <text>
        <t>Province
Type : texte
Obligatoire</t>
      </text>
    </comment>
    <comment ref="D1" authorId="0" shapeId="0">
      <text>
        <t>Nouveaux cas confirmés (24 h)
Type : entier
Obligatoire</t>
      </text>
    </comment>
    <comment ref="E1" authorId="0" shapeId="0">
      <text>
        <t>Cas confirmés cumulés
Type : entier
Obligatoire</t>
      </text>
    </comment>
    <comment ref="F1" authorId="0" shapeId="0">
      <text>
        <t>Décès confirmés cumulés
Type : entier
Obligatoire</t>
      </text>
    </comment>
    <comment ref="G1" authorId="0" shapeId="0">
      <text>
        <t>Létalité publiée (%)
Type : decimal</t>
      </text>
    </comment>
    <comment ref="H1" authorId="0" shapeId="0">
      <text>
        <t>ZS touchées
Type : entier</t>
      </text>
    </comment>
    <comment ref="I1" authorId="0" shapeId="0">
      <text>
        <t>ZS de la province
Type : entier</t>
      </text>
    </comment>
  </commentList>
</comments>
</file>

<file path=xl/comments/comment14.xml><?xml version="1.0" encoding="utf-8"?>
<comments xmlns="http://schemas.openxmlformats.org/spreadsheetml/2006/main">
  <authors>
    <author>Canevas CGPP</author>
  </authors>
  <commentList>
    <comment ref="A1" authorId="0" shapeId="0">
      <text>
        <t>Numéro du SitRep
Type : entier
Obligatoire</t>
      </text>
    </comment>
    <comment ref="B1" authorId="0" shapeId="0">
      <text>
        <t>Date des données
Type : date
Obligatoire</t>
      </text>
    </comment>
    <comment ref="C1" authorId="0" shapeId="0">
      <text>
        <t>Province
Type : texte
Obligatoire</t>
      </text>
    </comment>
    <comment ref="D1" authorId="0" shapeId="0">
      <text>
        <t>Zone de santé
Type : texte
Obligatoire</t>
      </text>
    </comment>
    <comment ref="E1" authorId="0" shapeId="0">
      <text>
        <t>Cas confirmés cumulés
Type : entier</t>
      </text>
    </comment>
    <comment ref="F1" authorId="0" shapeId="0">
      <text>
        <t>Décès confirmés cumulés
Type : entier
Obligatoire</t>
      </text>
    </comment>
    <comment ref="G1" authorId="0" shapeId="0">
      <text>
        <t>Létalité publiée (%)
Type : decimal</t>
      </text>
    </comment>
    <comment ref="H1" authorId="0" shapeId="0">
      <text>
        <t>Nouveaux cas (24 h)
Type : entier</t>
      </text>
    </comment>
    <comment ref="I1" authorId="0" shapeId="0">
      <text>
        <t>Décès communautaires swab+ (24 h)
Type : entier</t>
      </text>
    </comment>
    <comment ref="J1" authorId="0" shapeId="0">
      <text>
        <t>Décès confirmés intra-CTE (24 h)
Type : entier</t>
      </text>
    </comment>
    <comment ref="K1" authorId="0" shapeId="0">
      <text>
        <t>Total des décès confirmés (24 h)
Type : entier</t>
      </text>
    </comment>
    <comment ref="L1" authorId="0" shapeId="0">
      <text>
        <t>Ligne « à ventiler » (décès non attribués à une ZS)
Type : booleen</t>
      </text>
    </comment>
  </commentList>
</comments>
</file>

<file path=xl/comments/comment15.xml><?xml version="1.0" encoding="utf-8"?>
<comments xmlns="http://schemas.openxmlformats.org/spreadsheetml/2006/main">
  <authors>
    <author>Canevas CGPP</author>
  </authors>
  <commentList>
    <comment ref="A1" authorId="0" shapeId="0">
      <text>
        <t>Numéro du SitRep
Type : entier
Obligatoire</t>
      </text>
    </comment>
    <comment ref="B1" authorId="0" shapeId="0">
      <text>
        <t>Date des données
Type : date
Obligatoire</t>
      </text>
    </comment>
    <comment ref="C1" authorId="0" shapeId="0">
      <text>
        <t>Province
Type : texte
Obligatoire</t>
      </text>
    </comment>
    <comment ref="D1" authorId="0" shapeId="0">
      <text>
        <t>OK ou ND (non disponible)
Type : texte
Obligatoire</t>
      </text>
    </comment>
    <comment ref="E1" authorId="0" shapeId="0">
      <text>
        <t>Alertes reçues : vivants
Type : entier</t>
      </text>
    </comment>
    <comment ref="F1" authorId="0" shapeId="0">
      <text>
        <t>Alertes reçues : décès
Type : entier</t>
      </text>
    </comment>
    <comment ref="G1" authorId="0" shapeId="0">
      <text>
        <t>Total des alertes
Type : entier</t>
      </text>
    </comment>
    <comment ref="H1" authorId="0" shapeId="0">
      <text>
        <t>Validées (cas suspects) : vivants
Type : entier</t>
      </text>
    </comment>
    <comment ref="I1" authorId="0" shapeId="0">
      <text>
        <t>Validées : décès
Type : entier</t>
      </text>
    </comment>
    <comment ref="J1" authorId="0" shapeId="0">
      <text>
        <t>Invalidées : vivants
Type : entier</t>
      </text>
    </comment>
    <comment ref="K1" authorId="0" shapeId="0">
      <text>
        <t>Invalidées : décès
Type : entier</t>
      </text>
    </comment>
    <comment ref="L1" authorId="0" shapeId="0">
      <text>
        <t>Suspects investigués
Type : entier</t>
      </text>
    </comment>
    <comment ref="M1" authorId="0" shapeId="0">
      <text>
        <t>Suspects transférés au CT/CTE
Type : entier</t>
      </text>
    </comment>
  </commentList>
</comments>
</file>

<file path=xl/comments/comment16.xml><?xml version="1.0" encoding="utf-8"?>
<comments xmlns="http://schemas.openxmlformats.org/spreadsheetml/2006/main">
  <authors>
    <author>Canevas CGPP</author>
  </authors>
  <commentList>
    <comment ref="A1" authorId="0" shapeId="0">
      <text>
        <t>Numéro du SitRep
Type : entier
Obligatoire</t>
      </text>
    </comment>
    <comment ref="B1" authorId="0" shapeId="0">
      <text>
        <t>Date des données
Type : date
Obligatoire</t>
      </text>
    </comment>
    <comment ref="C1" authorId="0" shapeId="0">
      <text>
        <t>Province
Type : texte
Obligatoire</t>
      </text>
    </comment>
    <comment ref="D1" authorId="0" shapeId="0">
      <text>
        <t>OK ou ND
Type : texte
Obligatoire</t>
      </text>
    </comment>
    <comment ref="E1" authorId="0" shapeId="0">
      <text>
        <t>Contacts en cours de suivi
Type : entier</t>
      </text>
    </comment>
    <comment ref="F1" authorId="0" shapeId="0">
      <text>
        <t>Contacts vus dans les 24 h
Type : entier</t>
      </text>
    </comment>
    <comment ref="G1" authorId="0" shapeId="0">
      <text>
        <t>Taux publié (%)
Type : decimal</t>
      </text>
    </comment>
  </commentList>
</comments>
</file>

<file path=xl/comments/comment17.xml><?xml version="1.0" encoding="utf-8"?>
<comments xmlns="http://schemas.openxmlformats.org/spreadsheetml/2006/main">
  <authors>
    <author>Canevas CGPP</author>
  </authors>
  <commentList>
    <comment ref="A1" authorId="0" shapeId="0">
      <text>
        <t>Numéro du SitRep
Type : entier
Obligatoire</t>
      </text>
    </comment>
    <comment ref="B1" authorId="0" shapeId="0">
      <text>
        <t>Date des données
Type : date
Obligatoire</t>
      </text>
    </comment>
    <comment ref="C1" authorId="0" shapeId="0">
      <text>
        <t>Province
Type : texte
Obligatoire</t>
      </text>
    </comment>
    <comment ref="D1" authorId="0" shapeId="0">
      <text>
        <t>Échantillons reçus et analysés
Type : entier</t>
      </text>
    </comment>
    <comment ref="E1" authorId="0" shapeId="0">
      <text>
        <t>Résultats positifs
Type : entier</t>
      </text>
    </comment>
    <comment ref="F1" authorId="0" shapeId="0">
      <text>
        <t>Positifs vivants
Type : entier</t>
      </text>
    </comment>
    <comment ref="G1" authorId="0" shapeId="0">
      <text>
        <t>Positifs décédés
Type : entier</t>
      </text>
    </comment>
    <comment ref="H1" authorId="0" shapeId="0">
      <text>
        <t>Positivité publiée (%)
Type : decimal</t>
      </text>
    </comment>
    <comment ref="I1" authorId="0" shapeId="0">
      <text>
        <t>Phrase source
Type : texte</t>
      </text>
    </comment>
  </commentList>
</comments>
</file>

<file path=xl/comments/comment18.xml><?xml version="1.0" encoding="utf-8"?>
<comments xmlns="http://schemas.openxmlformats.org/spreadsheetml/2006/main">
  <authors>
    <author>Canevas CGPP</author>
  </authors>
  <commentList>
    <comment ref="A1" authorId="0" shapeId="0">
      <text>
        <t>Numéro du SitRep
Type : entier
Obligatoire</t>
      </text>
    </comment>
    <comment ref="B1" authorId="0" shapeId="0">
      <text>
        <t>Date des données
Type : date
Obligatoire</t>
      </text>
    </comment>
    <comment ref="C1" authorId="0" shapeId="0">
      <text>
        <t>Province
Type : texte
Obligatoire</t>
      </text>
    </comment>
    <comment ref="D1" authorId="0" shapeId="0">
      <text>
        <t>Nouvelles admissions
Type : entier</t>
      </text>
    </comment>
    <comment ref="E1" authorId="0" shapeId="0">
      <text>
        <t>Sorties
Type : entier</t>
      </text>
    </comment>
    <comment ref="F1" authorId="0" shapeId="0">
      <text>
        <t>Guérisons
Type : entier</t>
      </text>
    </comment>
    <comment ref="G1" authorId="0" shapeId="0">
      <text>
        <t>Patients en isolement en fin de journée
Type : entier</t>
      </text>
    </comment>
    <comment ref="H1" authorId="0" shapeId="0">
      <text>
        <t>Phrase source
Type : texte</t>
      </text>
    </comment>
  </commentList>
</comments>
</file>

<file path=xl/comments/comment19.xml><?xml version="1.0" encoding="utf-8"?>
<comments xmlns="http://schemas.openxmlformats.org/spreadsheetml/2006/main">
  <authors>
    <author>Canevas CGPP</author>
  </authors>
  <commentList>
    <comment ref="A1" authorId="0" shapeId="0">
      <text>
        <t>Numéro du SitRep
Type : entier
Obligatoire</t>
      </text>
    </comment>
    <comment ref="B1" authorId="0" shapeId="0">
      <text>
        <t>Date des données
Type : date
Obligatoire</t>
      </text>
    </comment>
    <comment ref="C1" authorId="0" shapeId="0">
      <text>
        <t>Libellé de l'indicateur
Type : texte
Obligatoire</t>
      </text>
    </comment>
    <comment ref="D1" authorId="0" shapeId="0">
      <text>
        <t>Province ou Global
Type : texte
Obligatoire</t>
      </text>
    </comment>
    <comment ref="E1" authorId="0" shapeId="0">
      <text>
        <t>Valeur telle que publiée
Type : texte</t>
      </text>
    </comment>
    <comment ref="F1" authorId="0" shapeId="0">
      <text>
        <t>Valeur numérique
Type : decimal</t>
      </text>
    </comment>
    <comment ref="G1" authorId="0" shapeId="0">
      <text>
        <t>Numérateur (si publié)
Type : decimal</t>
      </text>
    </comment>
    <comment ref="H1" authorId="0" shapeId="0">
      <text>
        <t>Dénominateur (si publié)
Type : decimal</t>
      </text>
    </comment>
  </commentList>
</comments>
</file>

<file path=xl/comments/comment20.xml><?xml version="1.0" encoding="utf-8"?>
<comments xmlns="http://schemas.openxmlformats.org/spreadsheetml/2006/main">
  <authors>
    <author>Canevas CGPP</author>
  </authors>
  <commentList>
    <comment ref="A1" authorId="0" shapeId="0">
      <text>
        <t>Numéro du SitRep
Type : entier
Obligatoire</t>
      </text>
    </comment>
    <comment ref="B1" authorId="0" shapeId="0">
      <text>
        <t>Ordre du paragraphe
Type : entier
Obligatoire</t>
      </text>
    </comment>
    <comment ref="C1" authorId="0" shapeId="0">
      <text>
        <t>Pilier ou section
Type : texte</t>
      </text>
    </comment>
    <comment ref="D1" authorId="0" shapeId="0">
      <text>
        <t>Principales actions / Défis
Type : texte</t>
      </text>
    </comment>
    <comment ref="E1" authorId="0" shapeId="0">
      <text>
        <t>Paragraphe
Type : texte
Obligatoire</t>
      </text>
    </comment>
  </commentList>
</comments>
</file>

<file path=xl/comments/comment21.xml><?xml version="1.0" encoding="utf-8"?>
<comments xmlns="http://schemas.openxmlformats.org/spreadsheetml/2006/main">
  <authors>
    <author>Canevas CGPP</author>
  </authors>
  <commentList>
    <comment ref="A1" authorId="0" shapeId="0">
      <text>
        <t>Date à laquelle se rapporte la valeur
Type : date
Obligatoire</t>
      </text>
    </comment>
    <comment ref="B1" authorId="0" shapeId="0">
      <text>
        <t>Document d'origine
Type : texte
Obligatoire</t>
      </text>
    </comment>
    <comment ref="C1" authorId="0" shapeId="0">
      <text>
        <t>National ou province
Type : texte
Obligatoire</t>
      </text>
    </comment>
    <comment ref="D1" authorId="0" shapeId="0">
      <text>
        <t>Indicateur
Type : texte
Obligatoire</t>
      </text>
    </comment>
    <comment ref="E1" authorId="0" shapeId="0">
      <text>
        <t>Valeur
Type : decimal
Obligatoire</t>
      </text>
    </comment>
    <comment ref="F1" authorId="0" shapeId="0">
      <text>
        <t>Remarque
Type : texte</t>
      </text>
    </comment>
  </commentList>
</comments>
</file>

<file path=xl/comments/comment22.xml><?xml version="1.0" encoding="utf-8"?>
<comments xmlns="http://schemas.openxmlformats.org/spreadsheetml/2006/main">
  <authors>
    <author>Canevas CGPP</author>
  </authors>
  <commentList>
    <comment ref="A1" authorId="0" shapeId="0">
      <text>
        <t>Année
Type : entier
Obligatoire</t>
      </text>
    </comment>
    <comment ref="B1" authorId="0" shapeId="0">
      <text>
        <t>Semaine épidémiologique
Type : entier
Obligatoire</t>
      </text>
    </comment>
    <comment ref="C1" authorId="0" shapeId="0">
      <text>
        <t>Province
Type : texte
Obligatoire</t>
      </text>
    </comment>
    <comment ref="D1" authorId="0" shapeId="0">
      <text>
        <t>Maladie
Type : texte
Obligatoire</t>
      </text>
    </comment>
    <comment ref="E1" authorId="0" shapeId="0">
      <text>
        <t>ZS ayant notifié des cas
Type : entier</t>
      </text>
    </comment>
    <comment ref="F1" authorId="0" shapeId="0">
      <text>
        <t>ZS de la province
Type : entier</t>
      </text>
    </comment>
    <comment ref="G1" authorId="0" shapeId="0">
      <text>
        <t>Cas notifiés dans la semaine
Type : entier</t>
      </text>
    </comment>
    <comment ref="H1" authorId="0" shapeId="0">
      <text>
        <t>Décès notifiés dans la semaine
Type : entier</t>
      </text>
    </comment>
    <comment ref="I1" authorId="0" shapeId="0">
      <text>
        <t>ZS en épidémie (liste)
Type : texte</t>
      </text>
    </comment>
    <comment ref="J1" authorId="0" shapeId="0">
      <text>
        <t>ZS du dispositif CGPP concernées (cas ou épidémie)
Type : texte</t>
      </text>
    </comment>
    <comment ref="K1" authorId="0" shapeId="0">
      <text>
        <t>Cas suspects alertés et référés par les RECO CGPP
Type : entier</t>
      </text>
    </comment>
    <comment ref="L1" authorId="0" shapeId="0">
      <text>
        <t>Détail des références par ZS
Type : texte</t>
      </text>
    </comment>
    <comment ref="M1" authorId="0" shapeId="0">
      <text>
        <t>Document d'origine
Type : texte
Obligatoire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7.xml" Id="comments"/><Relationship Type="http://schemas.openxmlformats.org/officeDocument/2006/relationships/vmlDrawing" Target="/xl/drawings/commentsDrawing17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8.xml" Id="comments"/><Relationship Type="http://schemas.openxmlformats.org/officeDocument/2006/relationships/vmlDrawing" Target="/xl/drawings/commentsDrawing18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19.xml" Id="comments"/><Relationship Type="http://schemas.openxmlformats.org/officeDocument/2006/relationships/vmlDrawing" Target="/xl/drawings/commentsDrawing19.vml" Id="anysvml"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20.xml" Id="comments"/><Relationship Type="http://schemas.openxmlformats.org/officeDocument/2006/relationships/vmlDrawing" Target="/xl/drawings/commentsDrawing20.vml" Id="anysvml"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21.xml" Id="comments"/><Relationship Type="http://schemas.openxmlformats.org/officeDocument/2006/relationships/vmlDrawing" Target="/xl/drawings/commentsDrawing21.vml" Id="anysvml"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22.xml" Id="comments"/><Relationship Type="http://schemas.openxmlformats.org/officeDocument/2006/relationships/vmlDrawing" Target="/xl/drawings/commentsDrawing2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95" customWidth="1" min="3" max="3"/>
  </cols>
  <sheetData>
    <row r="1">
      <c r="A1" s="1" t="n"/>
      <c r="B1" s="2" t="inlineStr">
        <is>
          <t>Base de données CGPP RDC : riposte à la MVE-17 (virus Bundibugyo)</t>
        </is>
      </c>
      <c r="C1" s="1" t="n"/>
    </row>
    <row r="2">
      <c r="A2" s="1" t="n"/>
      <c r="B2" s="3" t="inlineStr">
        <is>
          <t>Canevas de la base Excel normalisée : une feuille par table, une ligne par observation, des identifiants stables. Les scripts Python du dossier « scripts » lisent et écrivent ces feuilles.</t>
        </is>
      </c>
      <c r="C2" s="1" t="n"/>
    </row>
    <row r="3">
      <c r="A3" s="1" t="n"/>
      <c r="B3" s="1" t="n"/>
      <c r="C3" s="1" t="n"/>
    </row>
    <row r="4">
      <c r="A4" s="1" t="n"/>
      <c r="B4" s="4" t="inlineStr">
        <is>
          <t>Légende</t>
        </is>
      </c>
      <c r="C4" s="1" t="n"/>
    </row>
    <row r="5">
      <c r="A5" s="1" t="n"/>
      <c r="B5" s="5" t="n"/>
      <c r="C5" s="3" t="inlineStr">
        <is>
          <t>En-tête bleu foncé : nom technique de la colonne (ne pas modifier). Survoler l'en-tête pour lire la description.</t>
        </is>
      </c>
    </row>
    <row r="6">
      <c r="A6" s="1" t="n"/>
      <c r="B6" s="6" t="n"/>
      <c r="C6" s="3" t="inlineStr">
        <is>
          <t>Fond jaune : cellule à saisir (ligne d'exemple en italique, à supprimer avant usage).</t>
        </is>
      </c>
    </row>
    <row r="7">
      <c r="A7" s="1" t="n"/>
      <c r="B7" s="7" t="n"/>
      <c r="C7" s="3" t="inlineStr">
        <is>
          <t>Fond gris : cellule calculée par formule (ne pas saisir).</t>
        </is>
      </c>
    </row>
    <row r="8">
      <c r="A8" s="1" t="n"/>
      <c r="B8" s="8" t="n"/>
      <c r="C8" s="3" t="inlineStr">
        <is>
          <t>Fond bleu pâle : référentiel tenu par l'équipe SI (zones, indicateurs, semaines).</t>
        </is>
      </c>
    </row>
    <row r="9">
      <c r="A9" s="1" t="n"/>
      <c r="B9" s="1" t="n"/>
      <c r="C9" s="1" t="n"/>
    </row>
    <row r="10">
      <c r="A10" s="1" t="n"/>
      <c r="B10" s="4" t="inlineStr">
        <is>
          <t>Qui remplit quoi</t>
        </is>
      </c>
      <c r="C10" s="1" t="n"/>
    </row>
    <row r="11">
      <c r="A11" s="1" t="n"/>
      <c r="B11" s="9" t="inlineStr">
        <is>
          <t>saisie_hebdo</t>
        </is>
      </c>
      <c r="C11" s="10" t="inlineStr">
        <is>
          <t>Points focaux des IP, chaque vendredi (dimanche au plus tard) : une ligne par indicateur, ZS et semaine ; numérateur ET dénominateur pour les pourcentages.</t>
        </is>
      </c>
    </row>
    <row r="12">
      <c r="A12" s="1" t="n"/>
      <c r="B12" s="9" t="inlineStr">
        <is>
          <t>sbc_activites / sbc_synthese_as</t>
        </is>
      </c>
      <c r="C12" s="10" t="inlineStr">
        <is>
          <t>Export de la fiche SBC journalière (ODK), une ligne par site visité et une ligne par aire de santé et par jour.</t>
        </is>
      </c>
    </row>
    <row r="13">
      <c r="A13" s="1" t="n"/>
      <c r="B13" s="9" t="inlineStr">
        <is>
          <t>reunions / points_action</t>
        </is>
      </c>
      <c r="C13" s="10" t="inlineStr">
        <is>
          <t>Représentant CGPP à chaque réunion : la réunion, puis chaque point d'action avec responsable, échéance et statut.</t>
        </is>
      </c>
    </row>
    <row r="14">
      <c r="A14" s="1" t="n"/>
      <c r="B14" s="9" t="inlineStr">
        <is>
          <t>sitrep_notes</t>
        </is>
      </c>
      <c r="C14" s="10" t="inlineStr">
        <is>
          <t>Équipe SI : faits marquants, défis et actions repris dans le SitRep CGPP.</t>
        </is>
      </c>
    </row>
    <row r="15">
      <c r="A15" s="1" t="n"/>
      <c r="B15" s="9" t="inlineStr">
        <is>
          <t>feuilles sitrep_*, epi_*, …</t>
        </is>
      </c>
      <c r="C15" s="10" t="inlineStr">
        <is>
          <t>Remplies automatiquement par le script s01 à partir des SitReps nationaux : ne pas saisir à la main.</t>
        </is>
      </c>
    </row>
    <row r="16">
      <c r="A16" s="1" t="n"/>
      <c r="B16" s="9" t="inlineStr">
        <is>
          <t>tableau_suivi</t>
        </is>
      </c>
      <c r="C16" s="10" t="inlineStr">
        <is>
          <t>Calculé par formules à partir de saisie_hebdo et ref_indicateurs.</t>
        </is>
      </c>
    </row>
    <row r="17">
      <c r="A17" s="1" t="n"/>
      <c r="B17" s="9" t="inlineStr">
        <is>
          <t>qc_suivi</t>
        </is>
      </c>
      <c r="C17" s="10" t="inlineStr">
        <is>
          <t>Alimentée par le contrôle qualité (s03) ; l'équipe complète responsable, statut et date de résolution.</t>
        </is>
      </c>
    </row>
    <row r="18">
      <c r="A18" s="1" t="n"/>
      <c r="B18" s="1" t="n"/>
      <c r="C18" s="1" t="n"/>
    </row>
    <row r="19">
      <c r="A19" s="1" t="n"/>
      <c r="B19" s="4" t="inlineStr">
        <is>
          <t>Règles de saisie</t>
        </is>
      </c>
      <c r="C19" s="1" t="n"/>
    </row>
    <row r="20">
      <c r="A20" s="1" t="n"/>
      <c r="B20" s="3" t="inlineStr">
        <is>
          <t>1. Une valeur par cellule ; pas de texte dans les colonnes numériques ; pas de cellules fusionnées.</t>
        </is>
      </c>
      <c r="C20" s="1" t="n"/>
    </row>
    <row r="21">
      <c r="A21" s="1" t="n"/>
      <c r="B21" s="3" t="inlineStr">
        <is>
          <t>2. Les codes (province, ZS, partenaire, indicateur) viennent des listes déroulantes.</t>
        </is>
      </c>
      <c r="C21" s="1" t="n"/>
    </row>
    <row r="22">
      <c r="A22" s="1" t="n"/>
      <c r="B22" s="3" t="inlineStr">
        <is>
          <t>3. Un pourcentage se saisit toujours en numérateur et dénominateur, jamais en pourcentage tout fait.</t>
        </is>
      </c>
      <c r="C22" s="1" t="n"/>
    </row>
    <row r="23">
      <c r="A23" s="1" t="n"/>
      <c r="B23" s="3" t="inlineStr">
        <is>
          <t>4. Une semaine se renseigne même si la valeur est zéro : une cellule vide signifie « non rapporté ».</t>
        </is>
      </c>
      <c r="C23" s="1" t="n"/>
    </row>
    <row r="24">
      <c r="A24" s="1" t="n"/>
      <c r="B24" s="1" t="n"/>
      <c r="C24" s="1" t="n"/>
    </row>
    <row r="25">
      <c r="A25" s="1" t="n"/>
      <c r="B25" s="4" t="inlineStr">
        <is>
          <t>Commandes</t>
        </is>
      </c>
      <c r="C25" s="1" t="n"/>
    </row>
    <row r="26">
      <c r="A26" s="1" t="n"/>
      <c r="B26" s="3" t="inlineStr">
        <is>
          <t>python pipeline.py            (extraction, contrôle qualité, analyses et SitRep CGPP)</t>
        </is>
      </c>
      <c r="C26" s="1" t="n"/>
    </row>
    <row r="27">
      <c r="A27" s="1" t="n"/>
      <c r="B27" s="3" t="inlineStr">
        <is>
          <t>python pipeline.py --etapes qc,sitrep   (relancer seulement le contrôle et le SitRep)</t>
        </is>
      </c>
      <c r="C27" s="1" t="n"/>
    </row>
    <row r="28">
      <c r="A28" s="1" t="n"/>
      <c r="B28" s="1" t="n"/>
      <c r="C28" s="1" t="n"/>
    </row>
    <row r="29">
      <c r="A29" s="1" t="n"/>
      <c r="B29" s="3" t="inlineStr">
        <is>
          <t>Canevas généré le 12/10/2026 ; modèle de données : 22 tables.</t>
        </is>
      </c>
      <c r="C29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58" customWidth="1" min="3" max="3"/>
    <col width="12" customWidth="1" min="4" max="4"/>
    <col width="16" customWidth="1" min="5" max="5"/>
    <col width="12" customWidth="1" min="6" max="6"/>
    <col width="13" customWidth="1" min="7" max="7"/>
    <col width="13" customWidth="1" min="8" max="8"/>
    <col width="11" customWidth="1" min="9" max="9"/>
    <col width="11" customWidth="1" min="10" max="10"/>
    <col width="12" customWidth="1" min="11" max="11"/>
    <col width="10" customWidth="1" min="12" max="12"/>
    <col width="16" customWidth="1" min="13" max="13"/>
  </cols>
  <sheetData>
    <row r="1">
      <c r="A1" s="2" t="inlineStr">
        <is>
          <t>Suivi des indicateurs : calculé à partir de la feuille saisie_hebdo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3" t="inlineStr">
        <is>
          <t>Les pourcentages sont recalculés à partir de la somme des numérateurs et de la somme des dénominateurs (jamais en additionnant des pourcentages). Ne rien saisir dans cette feuille.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</row>
    <row r="4" ht="32" customHeight="1">
      <c r="A4" s="11" t="inlineStr">
        <is>
          <t>id_indicateur</t>
        </is>
      </c>
      <c r="B4" s="11" t="inlineStr">
        <is>
          <t>pilier</t>
        </is>
      </c>
      <c r="C4" s="11" t="inlineStr">
        <is>
          <t>indicateur</t>
        </is>
      </c>
      <c r="D4" s="11" t="inlineStr">
        <is>
          <t>type</t>
        </is>
      </c>
      <c r="E4" s="11" t="inlineStr">
        <is>
          <t>cible DOS</t>
        </is>
      </c>
      <c r="F4" s="11" t="inlineStr">
        <is>
          <t>cible DOS (nombre)</t>
        </is>
      </c>
      <c r="G4" s="11" t="inlineStr">
        <is>
          <t>numérateur cumulé</t>
        </is>
      </c>
      <c r="H4" s="11" t="inlineStr">
        <is>
          <t>dénominateur cumulé</t>
        </is>
      </c>
      <c r="I4" s="11" t="inlineStr">
        <is>
          <t>réalisé</t>
        </is>
      </c>
      <c r="J4" s="11" t="inlineStr">
        <is>
          <t>% de la cible</t>
        </is>
      </c>
      <c r="K4" s="11" t="inlineStr">
        <is>
          <t>dernière semaine saisie</t>
        </is>
      </c>
      <c r="L4" s="11" t="inlineStr">
        <is>
          <t>lignes saisies</t>
        </is>
      </c>
      <c r="M4" s="11" t="inlineStr">
        <is>
          <t>statut</t>
        </is>
      </c>
    </row>
    <row r="5">
      <c r="A5" s="12">
        <f>IFERROR(INDEX(ref_indicateurs!$A:$A,2)&amp;"","")</f>
        <v/>
      </c>
      <c r="B5" s="12">
        <f>IF($A5="","",INDEX(ref_indicateurs!$B:$B,MATCH($A5,ref_indicateurs!$A:$A,0))&amp;"")</f>
        <v/>
      </c>
      <c r="C5" s="12">
        <f>IF($A5="","",INDEX(ref_indicateurs!$C:$C,MATCH($A5,ref_indicateurs!$A:$A,0))&amp;"")</f>
        <v/>
      </c>
      <c r="D5" s="12">
        <f>IF($A5="","",INDEX(ref_indicateurs!$E:$E,MATCH($A5,ref_indicateurs!$A:$A,0))&amp;"")</f>
        <v/>
      </c>
      <c r="E5" s="12">
        <f>IF($A5="","",INDEX(ref_indicateurs!$M:$M,MATCH($A5,ref_indicateurs!$A:$A,0))&amp;"")</f>
        <v/>
      </c>
      <c r="F5" s="12">
        <f>IF($A5="","",IF(INDEX(ref_indicateurs!$O:$O,MATCH($A5,ref_indicateurs!$A:$A,0))="","",INDEX(ref_indicateurs!$O:$O,MATCH($A5,ref_indicateurs!$A:$A,0))))</f>
        <v/>
      </c>
      <c r="G5" s="13">
        <f>IF($A5="","",SUMIFS(saisie_hebdo!$L:$L,saisie_hebdo!$I:$I,$A5))</f>
        <v/>
      </c>
      <c r="H5" s="13">
        <f>IF($A5="","",SUMIFS(saisie_hebdo!$M:$M,saisie_hebdo!$I:$I,$A5))</f>
        <v/>
      </c>
      <c r="I5" s="14">
        <f>IF(OR($A5="",L5=0),"",IF(D5="Pourcentage",IF(H5&gt;0,G5/H5*100,""),G5))</f>
        <v/>
      </c>
      <c r="J5" s="15">
        <f>IF(OR(I5="",F5="",F5=0),"",I5/F5)</f>
        <v/>
      </c>
      <c r="K5" s="12">
        <f>IF(OR($A5="",L5=0),"",IF(_xlfn.MAXIFS(saisie_hebdo!$C:$C,saisie_hebdo!$I:$I,$A5)=0,"",_xlfn.MAXIFS(saisie_hebdo!$C:$C,saisie_hebdo!$I:$I,$A5)))</f>
        <v/>
      </c>
      <c r="L5" s="12">
        <f>IF($A5="","",COUNTIFS(saisie_hebdo!$I:$I,$A5))</f>
        <v/>
      </c>
      <c r="M5" s="12">
        <f>IF($A5="","",IF(L5=0,"Non rapporté",IF(F5="","Suivi sans cible",IF(D5="Pourcentage",IF(I5&gt;=F5,"Cible atteinte","Sous la cible"),IF(J5&gt;=1,"Cible atteinte","En cours")))))</f>
        <v/>
      </c>
    </row>
    <row r="6">
      <c r="A6" s="12">
        <f>IFERROR(INDEX(ref_indicateurs!$A:$A,3)&amp;"","")</f>
        <v/>
      </c>
      <c r="B6" s="12">
        <f>IF($A6="","",INDEX(ref_indicateurs!$B:$B,MATCH($A6,ref_indicateurs!$A:$A,0))&amp;"")</f>
        <v/>
      </c>
      <c r="C6" s="12">
        <f>IF($A6="","",INDEX(ref_indicateurs!$C:$C,MATCH($A6,ref_indicateurs!$A:$A,0))&amp;"")</f>
        <v/>
      </c>
      <c r="D6" s="12">
        <f>IF($A6="","",INDEX(ref_indicateurs!$E:$E,MATCH($A6,ref_indicateurs!$A:$A,0))&amp;"")</f>
        <v/>
      </c>
      <c r="E6" s="12">
        <f>IF($A6="","",INDEX(ref_indicateurs!$M:$M,MATCH($A6,ref_indicateurs!$A:$A,0))&amp;"")</f>
        <v/>
      </c>
      <c r="F6" s="12">
        <f>IF($A6="","",IF(INDEX(ref_indicateurs!$O:$O,MATCH($A6,ref_indicateurs!$A:$A,0))="","",INDEX(ref_indicateurs!$O:$O,MATCH($A6,ref_indicateurs!$A:$A,0))))</f>
        <v/>
      </c>
      <c r="G6" s="13">
        <f>IF($A6="","",SUMIFS(saisie_hebdo!$L:$L,saisie_hebdo!$I:$I,$A6))</f>
        <v/>
      </c>
      <c r="H6" s="13">
        <f>IF($A6="","",SUMIFS(saisie_hebdo!$M:$M,saisie_hebdo!$I:$I,$A6))</f>
        <v/>
      </c>
      <c r="I6" s="14">
        <f>IF(OR($A6="",L6=0),"",IF(D6="Pourcentage",IF(H6&gt;0,G6/H6*100,""),G6))</f>
        <v/>
      </c>
      <c r="J6" s="15">
        <f>IF(OR(I6="",F6="",F6=0),"",I6/F6)</f>
        <v/>
      </c>
      <c r="K6" s="12">
        <f>IF(OR($A6="",L6=0),"",IF(_xlfn.MAXIFS(saisie_hebdo!$C:$C,saisie_hebdo!$I:$I,$A6)=0,"",_xlfn.MAXIFS(saisie_hebdo!$C:$C,saisie_hebdo!$I:$I,$A6)))</f>
        <v/>
      </c>
      <c r="L6" s="12">
        <f>IF($A6="","",COUNTIFS(saisie_hebdo!$I:$I,$A6))</f>
        <v/>
      </c>
      <c r="M6" s="12">
        <f>IF($A6="","",IF(L6=0,"Non rapporté",IF(F6="","Suivi sans cible",IF(D6="Pourcentage",IF(I6&gt;=F6,"Cible atteinte","Sous la cible"),IF(J6&gt;=1,"Cible atteinte","En cours")))))</f>
        <v/>
      </c>
    </row>
    <row r="7">
      <c r="A7" s="12">
        <f>IFERROR(INDEX(ref_indicateurs!$A:$A,4)&amp;"","")</f>
        <v/>
      </c>
      <c r="B7" s="12">
        <f>IF($A7="","",INDEX(ref_indicateurs!$B:$B,MATCH($A7,ref_indicateurs!$A:$A,0))&amp;"")</f>
        <v/>
      </c>
      <c r="C7" s="12">
        <f>IF($A7="","",INDEX(ref_indicateurs!$C:$C,MATCH($A7,ref_indicateurs!$A:$A,0))&amp;"")</f>
        <v/>
      </c>
      <c r="D7" s="12">
        <f>IF($A7="","",INDEX(ref_indicateurs!$E:$E,MATCH($A7,ref_indicateurs!$A:$A,0))&amp;"")</f>
        <v/>
      </c>
      <c r="E7" s="12">
        <f>IF($A7="","",INDEX(ref_indicateurs!$M:$M,MATCH($A7,ref_indicateurs!$A:$A,0))&amp;"")</f>
        <v/>
      </c>
      <c r="F7" s="12">
        <f>IF($A7="","",IF(INDEX(ref_indicateurs!$O:$O,MATCH($A7,ref_indicateurs!$A:$A,0))="","",INDEX(ref_indicateurs!$O:$O,MATCH($A7,ref_indicateurs!$A:$A,0))))</f>
        <v/>
      </c>
      <c r="G7" s="13">
        <f>IF($A7="","",SUMIFS(saisie_hebdo!$L:$L,saisie_hebdo!$I:$I,$A7))</f>
        <v/>
      </c>
      <c r="H7" s="13">
        <f>IF($A7="","",SUMIFS(saisie_hebdo!$M:$M,saisie_hebdo!$I:$I,$A7))</f>
        <v/>
      </c>
      <c r="I7" s="14">
        <f>IF(OR($A7="",L7=0),"",IF(D7="Pourcentage",IF(H7&gt;0,G7/H7*100,""),G7))</f>
        <v/>
      </c>
      <c r="J7" s="15">
        <f>IF(OR(I7="",F7="",F7=0),"",I7/F7)</f>
        <v/>
      </c>
      <c r="K7" s="12">
        <f>IF(OR($A7="",L7=0),"",IF(_xlfn.MAXIFS(saisie_hebdo!$C:$C,saisie_hebdo!$I:$I,$A7)=0,"",_xlfn.MAXIFS(saisie_hebdo!$C:$C,saisie_hebdo!$I:$I,$A7)))</f>
        <v/>
      </c>
      <c r="L7" s="12">
        <f>IF($A7="","",COUNTIFS(saisie_hebdo!$I:$I,$A7))</f>
        <v/>
      </c>
      <c r="M7" s="12">
        <f>IF($A7="","",IF(L7=0,"Non rapporté",IF(F7="","Suivi sans cible",IF(D7="Pourcentage",IF(I7&gt;=F7,"Cible atteinte","Sous la cible"),IF(J7&gt;=1,"Cible atteinte","En cours")))))</f>
        <v/>
      </c>
    </row>
    <row r="8">
      <c r="A8" s="12">
        <f>IFERROR(INDEX(ref_indicateurs!$A:$A,5)&amp;"","")</f>
        <v/>
      </c>
      <c r="B8" s="12">
        <f>IF($A8="","",INDEX(ref_indicateurs!$B:$B,MATCH($A8,ref_indicateurs!$A:$A,0))&amp;"")</f>
        <v/>
      </c>
      <c r="C8" s="12">
        <f>IF($A8="","",INDEX(ref_indicateurs!$C:$C,MATCH($A8,ref_indicateurs!$A:$A,0))&amp;"")</f>
        <v/>
      </c>
      <c r="D8" s="12">
        <f>IF($A8="","",INDEX(ref_indicateurs!$E:$E,MATCH($A8,ref_indicateurs!$A:$A,0))&amp;"")</f>
        <v/>
      </c>
      <c r="E8" s="12">
        <f>IF($A8="","",INDEX(ref_indicateurs!$M:$M,MATCH($A8,ref_indicateurs!$A:$A,0))&amp;"")</f>
        <v/>
      </c>
      <c r="F8" s="12">
        <f>IF($A8="","",IF(INDEX(ref_indicateurs!$O:$O,MATCH($A8,ref_indicateurs!$A:$A,0))="","",INDEX(ref_indicateurs!$O:$O,MATCH($A8,ref_indicateurs!$A:$A,0))))</f>
        <v/>
      </c>
      <c r="G8" s="13">
        <f>IF($A8="","",SUMIFS(saisie_hebdo!$L:$L,saisie_hebdo!$I:$I,$A8))</f>
        <v/>
      </c>
      <c r="H8" s="13">
        <f>IF($A8="","",SUMIFS(saisie_hebdo!$M:$M,saisie_hebdo!$I:$I,$A8))</f>
        <v/>
      </c>
      <c r="I8" s="14">
        <f>IF(OR($A8="",L8=0),"",IF(D8="Pourcentage",IF(H8&gt;0,G8/H8*100,""),G8))</f>
        <v/>
      </c>
      <c r="J8" s="15">
        <f>IF(OR(I8="",F8="",F8=0),"",I8/F8)</f>
        <v/>
      </c>
      <c r="K8" s="12">
        <f>IF(OR($A8="",L8=0),"",IF(_xlfn.MAXIFS(saisie_hebdo!$C:$C,saisie_hebdo!$I:$I,$A8)=0,"",_xlfn.MAXIFS(saisie_hebdo!$C:$C,saisie_hebdo!$I:$I,$A8)))</f>
        <v/>
      </c>
      <c r="L8" s="12">
        <f>IF($A8="","",COUNTIFS(saisie_hebdo!$I:$I,$A8))</f>
        <v/>
      </c>
      <c r="M8" s="12">
        <f>IF($A8="","",IF(L8=0,"Non rapporté",IF(F8="","Suivi sans cible",IF(D8="Pourcentage",IF(I8&gt;=F8,"Cible atteinte","Sous la cible"),IF(J8&gt;=1,"Cible atteinte","En cours")))))</f>
        <v/>
      </c>
    </row>
    <row r="9">
      <c r="A9" s="12">
        <f>IFERROR(INDEX(ref_indicateurs!$A:$A,6)&amp;"","")</f>
        <v/>
      </c>
      <c r="B9" s="12">
        <f>IF($A9="","",INDEX(ref_indicateurs!$B:$B,MATCH($A9,ref_indicateurs!$A:$A,0))&amp;"")</f>
        <v/>
      </c>
      <c r="C9" s="12">
        <f>IF($A9="","",INDEX(ref_indicateurs!$C:$C,MATCH($A9,ref_indicateurs!$A:$A,0))&amp;"")</f>
        <v/>
      </c>
      <c r="D9" s="12">
        <f>IF($A9="","",INDEX(ref_indicateurs!$E:$E,MATCH($A9,ref_indicateurs!$A:$A,0))&amp;"")</f>
        <v/>
      </c>
      <c r="E9" s="12">
        <f>IF($A9="","",INDEX(ref_indicateurs!$M:$M,MATCH($A9,ref_indicateurs!$A:$A,0))&amp;"")</f>
        <v/>
      </c>
      <c r="F9" s="12">
        <f>IF($A9="","",IF(INDEX(ref_indicateurs!$O:$O,MATCH($A9,ref_indicateurs!$A:$A,0))="","",INDEX(ref_indicateurs!$O:$O,MATCH($A9,ref_indicateurs!$A:$A,0))))</f>
        <v/>
      </c>
      <c r="G9" s="13">
        <f>IF($A9="","",SUMIFS(saisie_hebdo!$L:$L,saisie_hebdo!$I:$I,$A9))</f>
        <v/>
      </c>
      <c r="H9" s="13">
        <f>IF($A9="","",SUMIFS(saisie_hebdo!$M:$M,saisie_hebdo!$I:$I,$A9))</f>
        <v/>
      </c>
      <c r="I9" s="14">
        <f>IF(OR($A9="",L9=0),"",IF(D9="Pourcentage",IF(H9&gt;0,G9/H9*100,""),G9))</f>
        <v/>
      </c>
      <c r="J9" s="15">
        <f>IF(OR(I9="",F9="",F9=0),"",I9/F9)</f>
        <v/>
      </c>
      <c r="K9" s="12">
        <f>IF(OR($A9="",L9=0),"",IF(_xlfn.MAXIFS(saisie_hebdo!$C:$C,saisie_hebdo!$I:$I,$A9)=0,"",_xlfn.MAXIFS(saisie_hebdo!$C:$C,saisie_hebdo!$I:$I,$A9)))</f>
        <v/>
      </c>
      <c r="L9" s="12">
        <f>IF($A9="","",COUNTIFS(saisie_hebdo!$I:$I,$A9))</f>
        <v/>
      </c>
      <c r="M9" s="12">
        <f>IF($A9="","",IF(L9=0,"Non rapporté",IF(F9="","Suivi sans cible",IF(D9="Pourcentage",IF(I9&gt;=F9,"Cible atteinte","Sous la cible"),IF(J9&gt;=1,"Cible atteinte","En cours")))))</f>
        <v/>
      </c>
    </row>
    <row r="10">
      <c r="A10" s="12">
        <f>IFERROR(INDEX(ref_indicateurs!$A:$A,7)&amp;"","")</f>
        <v/>
      </c>
      <c r="B10" s="12">
        <f>IF($A10="","",INDEX(ref_indicateurs!$B:$B,MATCH($A10,ref_indicateurs!$A:$A,0))&amp;"")</f>
        <v/>
      </c>
      <c r="C10" s="12">
        <f>IF($A10="","",INDEX(ref_indicateurs!$C:$C,MATCH($A10,ref_indicateurs!$A:$A,0))&amp;"")</f>
        <v/>
      </c>
      <c r="D10" s="12">
        <f>IF($A10="","",INDEX(ref_indicateurs!$E:$E,MATCH($A10,ref_indicateurs!$A:$A,0))&amp;"")</f>
        <v/>
      </c>
      <c r="E10" s="12">
        <f>IF($A10="","",INDEX(ref_indicateurs!$M:$M,MATCH($A10,ref_indicateurs!$A:$A,0))&amp;"")</f>
        <v/>
      </c>
      <c r="F10" s="12">
        <f>IF($A10="","",IF(INDEX(ref_indicateurs!$O:$O,MATCH($A10,ref_indicateurs!$A:$A,0))="","",INDEX(ref_indicateurs!$O:$O,MATCH($A10,ref_indicateurs!$A:$A,0))))</f>
        <v/>
      </c>
      <c r="G10" s="13">
        <f>IF($A10="","",SUMIFS(saisie_hebdo!$L:$L,saisie_hebdo!$I:$I,$A10))</f>
        <v/>
      </c>
      <c r="H10" s="13">
        <f>IF($A10="","",SUMIFS(saisie_hebdo!$M:$M,saisie_hebdo!$I:$I,$A10))</f>
        <v/>
      </c>
      <c r="I10" s="14">
        <f>IF(OR($A10="",L10=0),"",IF(D10="Pourcentage",IF(H10&gt;0,G10/H10*100,""),G10))</f>
        <v/>
      </c>
      <c r="J10" s="15">
        <f>IF(OR(I10="",F10="",F10=0),"",I10/F10)</f>
        <v/>
      </c>
      <c r="K10" s="12">
        <f>IF(OR($A10="",L10=0),"",IF(_xlfn.MAXIFS(saisie_hebdo!$C:$C,saisie_hebdo!$I:$I,$A10)=0,"",_xlfn.MAXIFS(saisie_hebdo!$C:$C,saisie_hebdo!$I:$I,$A10)))</f>
        <v/>
      </c>
      <c r="L10" s="12">
        <f>IF($A10="","",COUNTIFS(saisie_hebdo!$I:$I,$A10))</f>
        <v/>
      </c>
      <c r="M10" s="12">
        <f>IF($A10="","",IF(L10=0,"Non rapporté",IF(F10="","Suivi sans cible",IF(D10="Pourcentage",IF(I10&gt;=F10,"Cible atteinte","Sous la cible"),IF(J10&gt;=1,"Cible atteinte","En cours")))))</f>
        <v/>
      </c>
    </row>
    <row r="11">
      <c r="A11" s="12">
        <f>IFERROR(INDEX(ref_indicateurs!$A:$A,8)&amp;"","")</f>
        <v/>
      </c>
      <c r="B11" s="12">
        <f>IF($A11="","",INDEX(ref_indicateurs!$B:$B,MATCH($A11,ref_indicateurs!$A:$A,0))&amp;"")</f>
        <v/>
      </c>
      <c r="C11" s="12">
        <f>IF($A11="","",INDEX(ref_indicateurs!$C:$C,MATCH($A11,ref_indicateurs!$A:$A,0))&amp;"")</f>
        <v/>
      </c>
      <c r="D11" s="12">
        <f>IF($A11="","",INDEX(ref_indicateurs!$E:$E,MATCH($A11,ref_indicateurs!$A:$A,0))&amp;"")</f>
        <v/>
      </c>
      <c r="E11" s="12">
        <f>IF($A11="","",INDEX(ref_indicateurs!$M:$M,MATCH($A11,ref_indicateurs!$A:$A,0))&amp;"")</f>
        <v/>
      </c>
      <c r="F11" s="12">
        <f>IF($A11="","",IF(INDEX(ref_indicateurs!$O:$O,MATCH($A11,ref_indicateurs!$A:$A,0))="","",INDEX(ref_indicateurs!$O:$O,MATCH($A11,ref_indicateurs!$A:$A,0))))</f>
        <v/>
      </c>
      <c r="G11" s="13">
        <f>IF($A11="","",SUMIFS(saisie_hebdo!$L:$L,saisie_hebdo!$I:$I,$A11))</f>
        <v/>
      </c>
      <c r="H11" s="13">
        <f>IF($A11="","",SUMIFS(saisie_hebdo!$M:$M,saisie_hebdo!$I:$I,$A11))</f>
        <v/>
      </c>
      <c r="I11" s="14">
        <f>IF(OR($A11="",L11=0),"",IF(D11="Pourcentage",IF(H11&gt;0,G11/H11*100,""),G11))</f>
        <v/>
      </c>
      <c r="J11" s="15">
        <f>IF(OR(I11="",F11="",F11=0),"",I11/F11)</f>
        <v/>
      </c>
      <c r="K11" s="12">
        <f>IF(OR($A11="",L11=0),"",IF(_xlfn.MAXIFS(saisie_hebdo!$C:$C,saisie_hebdo!$I:$I,$A11)=0,"",_xlfn.MAXIFS(saisie_hebdo!$C:$C,saisie_hebdo!$I:$I,$A11)))</f>
        <v/>
      </c>
      <c r="L11" s="12">
        <f>IF($A11="","",COUNTIFS(saisie_hebdo!$I:$I,$A11))</f>
        <v/>
      </c>
      <c r="M11" s="12">
        <f>IF($A11="","",IF(L11=0,"Non rapporté",IF(F11="","Suivi sans cible",IF(D11="Pourcentage",IF(I11&gt;=F11,"Cible atteinte","Sous la cible"),IF(J11&gt;=1,"Cible atteinte","En cours")))))</f>
        <v/>
      </c>
    </row>
    <row r="12">
      <c r="A12" s="12">
        <f>IFERROR(INDEX(ref_indicateurs!$A:$A,9)&amp;"","")</f>
        <v/>
      </c>
      <c r="B12" s="12">
        <f>IF($A12="","",INDEX(ref_indicateurs!$B:$B,MATCH($A12,ref_indicateurs!$A:$A,0))&amp;"")</f>
        <v/>
      </c>
      <c r="C12" s="12">
        <f>IF($A12="","",INDEX(ref_indicateurs!$C:$C,MATCH($A12,ref_indicateurs!$A:$A,0))&amp;"")</f>
        <v/>
      </c>
      <c r="D12" s="12">
        <f>IF($A12="","",INDEX(ref_indicateurs!$E:$E,MATCH($A12,ref_indicateurs!$A:$A,0))&amp;"")</f>
        <v/>
      </c>
      <c r="E12" s="12">
        <f>IF($A12="","",INDEX(ref_indicateurs!$M:$M,MATCH($A12,ref_indicateurs!$A:$A,0))&amp;"")</f>
        <v/>
      </c>
      <c r="F12" s="12">
        <f>IF($A12="","",IF(INDEX(ref_indicateurs!$O:$O,MATCH($A12,ref_indicateurs!$A:$A,0))="","",INDEX(ref_indicateurs!$O:$O,MATCH($A12,ref_indicateurs!$A:$A,0))))</f>
        <v/>
      </c>
      <c r="G12" s="13">
        <f>IF($A12="","",SUMIFS(saisie_hebdo!$L:$L,saisie_hebdo!$I:$I,$A12))</f>
        <v/>
      </c>
      <c r="H12" s="13">
        <f>IF($A12="","",SUMIFS(saisie_hebdo!$M:$M,saisie_hebdo!$I:$I,$A12))</f>
        <v/>
      </c>
      <c r="I12" s="14">
        <f>IF(OR($A12="",L12=0),"",IF(D12="Pourcentage",IF(H12&gt;0,G12/H12*100,""),G12))</f>
        <v/>
      </c>
      <c r="J12" s="15">
        <f>IF(OR(I12="",F12="",F12=0),"",I12/F12)</f>
        <v/>
      </c>
      <c r="K12" s="12">
        <f>IF(OR($A12="",L12=0),"",IF(_xlfn.MAXIFS(saisie_hebdo!$C:$C,saisie_hebdo!$I:$I,$A12)=0,"",_xlfn.MAXIFS(saisie_hebdo!$C:$C,saisie_hebdo!$I:$I,$A12)))</f>
        <v/>
      </c>
      <c r="L12" s="12">
        <f>IF($A12="","",COUNTIFS(saisie_hebdo!$I:$I,$A12))</f>
        <v/>
      </c>
      <c r="M12" s="12">
        <f>IF($A12="","",IF(L12=0,"Non rapporté",IF(F12="","Suivi sans cible",IF(D12="Pourcentage",IF(I12&gt;=F12,"Cible atteinte","Sous la cible"),IF(J12&gt;=1,"Cible atteinte","En cours")))))</f>
        <v/>
      </c>
    </row>
    <row r="13">
      <c r="A13" s="12">
        <f>IFERROR(INDEX(ref_indicateurs!$A:$A,10)&amp;"","")</f>
        <v/>
      </c>
      <c r="B13" s="12">
        <f>IF($A13="","",INDEX(ref_indicateurs!$B:$B,MATCH($A13,ref_indicateurs!$A:$A,0))&amp;"")</f>
        <v/>
      </c>
      <c r="C13" s="12">
        <f>IF($A13="","",INDEX(ref_indicateurs!$C:$C,MATCH($A13,ref_indicateurs!$A:$A,0))&amp;"")</f>
        <v/>
      </c>
      <c r="D13" s="12">
        <f>IF($A13="","",INDEX(ref_indicateurs!$E:$E,MATCH($A13,ref_indicateurs!$A:$A,0))&amp;"")</f>
        <v/>
      </c>
      <c r="E13" s="12">
        <f>IF($A13="","",INDEX(ref_indicateurs!$M:$M,MATCH($A13,ref_indicateurs!$A:$A,0))&amp;"")</f>
        <v/>
      </c>
      <c r="F13" s="12">
        <f>IF($A13="","",IF(INDEX(ref_indicateurs!$O:$O,MATCH($A13,ref_indicateurs!$A:$A,0))="","",INDEX(ref_indicateurs!$O:$O,MATCH($A13,ref_indicateurs!$A:$A,0))))</f>
        <v/>
      </c>
      <c r="G13" s="13">
        <f>IF($A13="","",SUMIFS(saisie_hebdo!$L:$L,saisie_hebdo!$I:$I,$A13))</f>
        <v/>
      </c>
      <c r="H13" s="13">
        <f>IF($A13="","",SUMIFS(saisie_hebdo!$M:$M,saisie_hebdo!$I:$I,$A13))</f>
        <v/>
      </c>
      <c r="I13" s="14">
        <f>IF(OR($A13="",L13=0),"",IF(D13="Pourcentage",IF(H13&gt;0,G13/H13*100,""),G13))</f>
        <v/>
      </c>
      <c r="J13" s="15">
        <f>IF(OR(I13="",F13="",F13=0),"",I13/F13)</f>
        <v/>
      </c>
      <c r="K13" s="12">
        <f>IF(OR($A13="",L13=0),"",IF(_xlfn.MAXIFS(saisie_hebdo!$C:$C,saisie_hebdo!$I:$I,$A13)=0,"",_xlfn.MAXIFS(saisie_hebdo!$C:$C,saisie_hebdo!$I:$I,$A13)))</f>
        <v/>
      </c>
      <c r="L13" s="12">
        <f>IF($A13="","",COUNTIFS(saisie_hebdo!$I:$I,$A13))</f>
        <v/>
      </c>
      <c r="M13" s="12">
        <f>IF($A13="","",IF(L13=0,"Non rapporté",IF(F13="","Suivi sans cible",IF(D13="Pourcentage",IF(I13&gt;=F13,"Cible atteinte","Sous la cible"),IF(J13&gt;=1,"Cible atteinte","En cours")))))</f>
        <v/>
      </c>
    </row>
    <row r="14">
      <c r="A14" s="12">
        <f>IFERROR(INDEX(ref_indicateurs!$A:$A,11)&amp;"","")</f>
        <v/>
      </c>
      <c r="B14" s="12">
        <f>IF($A14="","",INDEX(ref_indicateurs!$B:$B,MATCH($A14,ref_indicateurs!$A:$A,0))&amp;"")</f>
        <v/>
      </c>
      <c r="C14" s="12">
        <f>IF($A14="","",INDEX(ref_indicateurs!$C:$C,MATCH($A14,ref_indicateurs!$A:$A,0))&amp;"")</f>
        <v/>
      </c>
      <c r="D14" s="12">
        <f>IF($A14="","",INDEX(ref_indicateurs!$E:$E,MATCH($A14,ref_indicateurs!$A:$A,0))&amp;"")</f>
        <v/>
      </c>
      <c r="E14" s="12">
        <f>IF($A14="","",INDEX(ref_indicateurs!$M:$M,MATCH($A14,ref_indicateurs!$A:$A,0))&amp;"")</f>
        <v/>
      </c>
      <c r="F14" s="12">
        <f>IF($A14="","",IF(INDEX(ref_indicateurs!$O:$O,MATCH($A14,ref_indicateurs!$A:$A,0))="","",INDEX(ref_indicateurs!$O:$O,MATCH($A14,ref_indicateurs!$A:$A,0))))</f>
        <v/>
      </c>
      <c r="G14" s="13">
        <f>IF($A14="","",SUMIFS(saisie_hebdo!$L:$L,saisie_hebdo!$I:$I,$A14))</f>
        <v/>
      </c>
      <c r="H14" s="13">
        <f>IF($A14="","",SUMIFS(saisie_hebdo!$M:$M,saisie_hebdo!$I:$I,$A14))</f>
        <v/>
      </c>
      <c r="I14" s="14">
        <f>IF(OR($A14="",L14=0),"",IF(D14="Pourcentage",IF(H14&gt;0,G14/H14*100,""),G14))</f>
        <v/>
      </c>
      <c r="J14" s="15">
        <f>IF(OR(I14="",F14="",F14=0),"",I14/F14)</f>
        <v/>
      </c>
      <c r="K14" s="12">
        <f>IF(OR($A14="",L14=0),"",IF(_xlfn.MAXIFS(saisie_hebdo!$C:$C,saisie_hebdo!$I:$I,$A14)=0,"",_xlfn.MAXIFS(saisie_hebdo!$C:$C,saisie_hebdo!$I:$I,$A14)))</f>
        <v/>
      </c>
      <c r="L14" s="12">
        <f>IF($A14="","",COUNTIFS(saisie_hebdo!$I:$I,$A14))</f>
        <v/>
      </c>
      <c r="M14" s="12">
        <f>IF($A14="","",IF(L14=0,"Non rapporté",IF(F14="","Suivi sans cible",IF(D14="Pourcentage",IF(I14&gt;=F14,"Cible atteinte","Sous la cible"),IF(J14&gt;=1,"Cible atteinte","En cours")))))</f>
        <v/>
      </c>
    </row>
    <row r="15">
      <c r="A15" s="12">
        <f>IFERROR(INDEX(ref_indicateurs!$A:$A,12)&amp;"","")</f>
        <v/>
      </c>
      <c r="B15" s="12">
        <f>IF($A15="","",INDEX(ref_indicateurs!$B:$B,MATCH($A15,ref_indicateurs!$A:$A,0))&amp;"")</f>
        <v/>
      </c>
      <c r="C15" s="12">
        <f>IF($A15="","",INDEX(ref_indicateurs!$C:$C,MATCH($A15,ref_indicateurs!$A:$A,0))&amp;"")</f>
        <v/>
      </c>
      <c r="D15" s="12">
        <f>IF($A15="","",INDEX(ref_indicateurs!$E:$E,MATCH($A15,ref_indicateurs!$A:$A,0))&amp;"")</f>
        <v/>
      </c>
      <c r="E15" s="12">
        <f>IF($A15="","",INDEX(ref_indicateurs!$M:$M,MATCH($A15,ref_indicateurs!$A:$A,0))&amp;"")</f>
        <v/>
      </c>
      <c r="F15" s="12">
        <f>IF($A15="","",IF(INDEX(ref_indicateurs!$O:$O,MATCH($A15,ref_indicateurs!$A:$A,0))="","",INDEX(ref_indicateurs!$O:$O,MATCH($A15,ref_indicateurs!$A:$A,0))))</f>
        <v/>
      </c>
      <c r="G15" s="13">
        <f>IF($A15="","",SUMIFS(saisie_hebdo!$L:$L,saisie_hebdo!$I:$I,$A15))</f>
        <v/>
      </c>
      <c r="H15" s="13">
        <f>IF($A15="","",SUMIFS(saisie_hebdo!$M:$M,saisie_hebdo!$I:$I,$A15))</f>
        <v/>
      </c>
      <c r="I15" s="14">
        <f>IF(OR($A15="",L15=0),"",IF(D15="Pourcentage",IF(H15&gt;0,G15/H15*100,""),G15))</f>
        <v/>
      </c>
      <c r="J15" s="15">
        <f>IF(OR(I15="",F15="",F15=0),"",I15/F15)</f>
        <v/>
      </c>
      <c r="K15" s="12">
        <f>IF(OR($A15="",L15=0),"",IF(_xlfn.MAXIFS(saisie_hebdo!$C:$C,saisie_hebdo!$I:$I,$A15)=0,"",_xlfn.MAXIFS(saisie_hebdo!$C:$C,saisie_hebdo!$I:$I,$A15)))</f>
        <v/>
      </c>
      <c r="L15" s="12">
        <f>IF($A15="","",COUNTIFS(saisie_hebdo!$I:$I,$A15))</f>
        <v/>
      </c>
      <c r="M15" s="12">
        <f>IF($A15="","",IF(L15=0,"Non rapporté",IF(F15="","Suivi sans cible",IF(D15="Pourcentage",IF(I15&gt;=F15,"Cible atteinte","Sous la cible"),IF(J15&gt;=1,"Cible atteinte","En cours")))))</f>
        <v/>
      </c>
    </row>
    <row r="16">
      <c r="A16" s="12">
        <f>IFERROR(INDEX(ref_indicateurs!$A:$A,13)&amp;"","")</f>
        <v/>
      </c>
      <c r="B16" s="12">
        <f>IF($A16="","",INDEX(ref_indicateurs!$B:$B,MATCH($A16,ref_indicateurs!$A:$A,0))&amp;"")</f>
        <v/>
      </c>
      <c r="C16" s="12">
        <f>IF($A16="","",INDEX(ref_indicateurs!$C:$C,MATCH($A16,ref_indicateurs!$A:$A,0))&amp;"")</f>
        <v/>
      </c>
      <c r="D16" s="12">
        <f>IF($A16="","",INDEX(ref_indicateurs!$E:$E,MATCH($A16,ref_indicateurs!$A:$A,0))&amp;"")</f>
        <v/>
      </c>
      <c r="E16" s="12">
        <f>IF($A16="","",INDEX(ref_indicateurs!$M:$M,MATCH($A16,ref_indicateurs!$A:$A,0))&amp;"")</f>
        <v/>
      </c>
      <c r="F16" s="12">
        <f>IF($A16="","",IF(INDEX(ref_indicateurs!$O:$O,MATCH($A16,ref_indicateurs!$A:$A,0))="","",INDEX(ref_indicateurs!$O:$O,MATCH($A16,ref_indicateurs!$A:$A,0))))</f>
        <v/>
      </c>
      <c r="G16" s="13">
        <f>IF($A16="","",SUMIFS(saisie_hebdo!$L:$L,saisie_hebdo!$I:$I,$A16))</f>
        <v/>
      </c>
      <c r="H16" s="13">
        <f>IF($A16="","",SUMIFS(saisie_hebdo!$M:$M,saisie_hebdo!$I:$I,$A16))</f>
        <v/>
      </c>
      <c r="I16" s="14">
        <f>IF(OR($A16="",L16=0),"",IF(D16="Pourcentage",IF(H16&gt;0,G16/H16*100,""),G16))</f>
        <v/>
      </c>
      <c r="J16" s="15">
        <f>IF(OR(I16="",F16="",F16=0),"",I16/F16)</f>
        <v/>
      </c>
      <c r="K16" s="12">
        <f>IF(OR($A16="",L16=0),"",IF(_xlfn.MAXIFS(saisie_hebdo!$C:$C,saisie_hebdo!$I:$I,$A16)=0,"",_xlfn.MAXIFS(saisie_hebdo!$C:$C,saisie_hebdo!$I:$I,$A16)))</f>
        <v/>
      </c>
      <c r="L16" s="12">
        <f>IF($A16="","",COUNTIFS(saisie_hebdo!$I:$I,$A16))</f>
        <v/>
      </c>
      <c r="M16" s="12">
        <f>IF($A16="","",IF(L16=0,"Non rapporté",IF(F16="","Suivi sans cible",IF(D16="Pourcentage",IF(I16&gt;=F16,"Cible atteinte","Sous la cible"),IF(J16&gt;=1,"Cible atteinte","En cours")))))</f>
        <v/>
      </c>
    </row>
    <row r="17">
      <c r="A17" s="12">
        <f>IFERROR(INDEX(ref_indicateurs!$A:$A,14)&amp;"","")</f>
        <v/>
      </c>
      <c r="B17" s="12">
        <f>IF($A17="","",INDEX(ref_indicateurs!$B:$B,MATCH($A17,ref_indicateurs!$A:$A,0))&amp;"")</f>
        <v/>
      </c>
      <c r="C17" s="12">
        <f>IF($A17="","",INDEX(ref_indicateurs!$C:$C,MATCH($A17,ref_indicateurs!$A:$A,0))&amp;"")</f>
        <v/>
      </c>
      <c r="D17" s="12">
        <f>IF($A17="","",INDEX(ref_indicateurs!$E:$E,MATCH($A17,ref_indicateurs!$A:$A,0))&amp;"")</f>
        <v/>
      </c>
      <c r="E17" s="12">
        <f>IF($A17="","",INDEX(ref_indicateurs!$M:$M,MATCH($A17,ref_indicateurs!$A:$A,0))&amp;"")</f>
        <v/>
      </c>
      <c r="F17" s="12">
        <f>IF($A17="","",IF(INDEX(ref_indicateurs!$O:$O,MATCH($A17,ref_indicateurs!$A:$A,0))="","",INDEX(ref_indicateurs!$O:$O,MATCH($A17,ref_indicateurs!$A:$A,0))))</f>
        <v/>
      </c>
      <c r="G17" s="13">
        <f>IF($A17="","",SUMIFS(saisie_hebdo!$L:$L,saisie_hebdo!$I:$I,$A17))</f>
        <v/>
      </c>
      <c r="H17" s="13">
        <f>IF($A17="","",SUMIFS(saisie_hebdo!$M:$M,saisie_hebdo!$I:$I,$A17))</f>
        <v/>
      </c>
      <c r="I17" s="14">
        <f>IF(OR($A17="",L17=0),"",IF(D17="Pourcentage",IF(H17&gt;0,G17/H17*100,""),G17))</f>
        <v/>
      </c>
      <c r="J17" s="15">
        <f>IF(OR(I17="",F17="",F17=0),"",I17/F17)</f>
        <v/>
      </c>
      <c r="K17" s="12">
        <f>IF(OR($A17="",L17=0),"",IF(_xlfn.MAXIFS(saisie_hebdo!$C:$C,saisie_hebdo!$I:$I,$A17)=0,"",_xlfn.MAXIFS(saisie_hebdo!$C:$C,saisie_hebdo!$I:$I,$A17)))</f>
        <v/>
      </c>
      <c r="L17" s="12">
        <f>IF($A17="","",COUNTIFS(saisie_hebdo!$I:$I,$A17))</f>
        <v/>
      </c>
      <c r="M17" s="12">
        <f>IF($A17="","",IF(L17=0,"Non rapporté",IF(F17="","Suivi sans cible",IF(D17="Pourcentage",IF(I17&gt;=F17,"Cible atteinte","Sous la cible"),IF(J17&gt;=1,"Cible atteinte","En cours")))))</f>
        <v/>
      </c>
    </row>
    <row r="18">
      <c r="A18" s="12">
        <f>IFERROR(INDEX(ref_indicateurs!$A:$A,15)&amp;"","")</f>
        <v/>
      </c>
      <c r="B18" s="12">
        <f>IF($A18="","",INDEX(ref_indicateurs!$B:$B,MATCH($A18,ref_indicateurs!$A:$A,0))&amp;"")</f>
        <v/>
      </c>
      <c r="C18" s="12">
        <f>IF($A18="","",INDEX(ref_indicateurs!$C:$C,MATCH($A18,ref_indicateurs!$A:$A,0))&amp;"")</f>
        <v/>
      </c>
      <c r="D18" s="12">
        <f>IF($A18="","",INDEX(ref_indicateurs!$E:$E,MATCH($A18,ref_indicateurs!$A:$A,0))&amp;"")</f>
        <v/>
      </c>
      <c r="E18" s="12">
        <f>IF($A18="","",INDEX(ref_indicateurs!$M:$M,MATCH($A18,ref_indicateurs!$A:$A,0))&amp;"")</f>
        <v/>
      </c>
      <c r="F18" s="12">
        <f>IF($A18="","",IF(INDEX(ref_indicateurs!$O:$O,MATCH($A18,ref_indicateurs!$A:$A,0))="","",INDEX(ref_indicateurs!$O:$O,MATCH($A18,ref_indicateurs!$A:$A,0))))</f>
        <v/>
      </c>
      <c r="G18" s="13">
        <f>IF($A18="","",SUMIFS(saisie_hebdo!$L:$L,saisie_hebdo!$I:$I,$A18))</f>
        <v/>
      </c>
      <c r="H18" s="13">
        <f>IF($A18="","",SUMIFS(saisie_hebdo!$M:$M,saisie_hebdo!$I:$I,$A18))</f>
        <v/>
      </c>
      <c r="I18" s="14">
        <f>IF(OR($A18="",L18=0),"",IF(D18="Pourcentage",IF(H18&gt;0,G18/H18*100,""),G18))</f>
        <v/>
      </c>
      <c r="J18" s="15">
        <f>IF(OR(I18="",F18="",F18=0),"",I18/F18)</f>
        <v/>
      </c>
      <c r="K18" s="12">
        <f>IF(OR($A18="",L18=0),"",IF(_xlfn.MAXIFS(saisie_hebdo!$C:$C,saisie_hebdo!$I:$I,$A18)=0,"",_xlfn.MAXIFS(saisie_hebdo!$C:$C,saisie_hebdo!$I:$I,$A18)))</f>
        <v/>
      </c>
      <c r="L18" s="12">
        <f>IF($A18="","",COUNTIFS(saisie_hebdo!$I:$I,$A18))</f>
        <v/>
      </c>
      <c r="M18" s="12">
        <f>IF($A18="","",IF(L18=0,"Non rapporté",IF(F18="","Suivi sans cible",IF(D18="Pourcentage",IF(I18&gt;=F18,"Cible atteinte","Sous la cible"),IF(J18&gt;=1,"Cible atteinte","En cours")))))</f>
        <v/>
      </c>
    </row>
    <row r="19">
      <c r="A19" s="12">
        <f>IFERROR(INDEX(ref_indicateurs!$A:$A,16)&amp;"","")</f>
        <v/>
      </c>
      <c r="B19" s="12">
        <f>IF($A19="","",INDEX(ref_indicateurs!$B:$B,MATCH($A19,ref_indicateurs!$A:$A,0))&amp;"")</f>
        <v/>
      </c>
      <c r="C19" s="12">
        <f>IF($A19="","",INDEX(ref_indicateurs!$C:$C,MATCH($A19,ref_indicateurs!$A:$A,0))&amp;"")</f>
        <v/>
      </c>
      <c r="D19" s="12">
        <f>IF($A19="","",INDEX(ref_indicateurs!$E:$E,MATCH($A19,ref_indicateurs!$A:$A,0))&amp;"")</f>
        <v/>
      </c>
      <c r="E19" s="12">
        <f>IF($A19="","",INDEX(ref_indicateurs!$M:$M,MATCH($A19,ref_indicateurs!$A:$A,0))&amp;"")</f>
        <v/>
      </c>
      <c r="F19" s="12">
        <f>IF($A19="","",IF(INDEX(ref_indicateurs!$O:$O,MATCH($A19,ref_indicateurs!$A:$A,0))="","",INDEX(ref_indicateurs!$O:$O,MATCH($A19,ref_indicateurs!$A:$A,0))))</f>
        <v/>
      </c>
      <c r="G19" s="13">
        <f>IF($A19="","",SUMIFS(saisie_hebdo!$L:$L,saisie_hebdo!$I:$I,$A19))</f>
        <v/>
      </c>
      <c r="H19" s="13">
        <f>IF($A19="","",SUMIFS(saisie_hebdo!$M:$M,saisie_hebdo!$I:$I,$A19))</f>
        <v/>
      </c>
      <c r="I19" s="14">
        <f>IF(OR($A19="",L19=0),"",IF(D19="Pourcentage",IF(H19&gt;0,G19/H19*100,""),G19))</f>
        <v/>
      </c>
      <c r="J19" s="15">
        <f>IF(OR(I19="",F19="",F19=0),"",I19/F19)</f>
        <v/>
      </c>
      <c r="K19" s="12">
        <f>IF(OR($A19="",L19=0),"",IF(_xlfn.MAXIFS(saisie_hebdo!$C:$C,saisie_hebdo!$I:$I,$A19)=0,"",_xlfn.MAXIFS(saisie_hebdo!$C:$C,saisie_hebdo!$I:$I,$A19)))</f>
        <v/>
      </c>
      <c r="L19" s="12">
        <f>IF($A19="","",COUNTIFS(saisie_hebdo!$I:$I,$A19))</f>
        <v/>
      </c>
      <c r="M19" s="12">
        <f>IF($A19="","",IF(L19=0,"Non rapporté",IF(F19="","Suivi sans cible",IF(D19="Pourcentage",IF(I19&gt;=F19,"Cible atteinte","Sous la cible"),IF(J19&gt;=1,"Cible atteinte","En cours")))))</f>
        <v/>
      </c>
    </row>
    <row r="20">
      <c r="A20" s="12">
        <f>IFERROR(INDEX(ref_indicateurs!$A:$A,17)&amp;"","")</f>
        <v/>
      </c>
      <c r="B20" s="12">
        <f>IF($A20="","",INDEX(ref_indicateurs!$B:$B,MATCH($A20,ref_indicateurs!$A:$A,0))&amp;"")</f>
        <v/>
      </c>
      <c r="C20" s="12">
        <f>IF($A20="","",INDEX(ref_indicateurs!$C:$C,MATCH($A20,ref_indicateurs!$A:$A,0))&amp;"")</f>
        <v/>
      </c>
      <c r="D20" s="12">
        <f>IF($A20="","",INDEX(ref_indicateurs!$E:$E,MATCH($A20,ref_indicateurs!$A:$A,0))&amp;"")</f>
        <v/>
      </c>
      <c r="E20" s="12">
        <f>IF($A20="","",INDEX(ref_indicateurs!$M:$M,MATCH($A20,ref_indicateurs!$A:$A,0))&amp;"")</f>
        <v/>
      </c>
      <c r="F20" s="12">
        <f>IF($A20="","",IF(INDEX(ref_indicateurs!$O:$O,MATCH($A20,ref_indicateurs!$A:$A,0))="","",INDEX(ref_indicateurs!$O:$O,MATCH($A20,ref_indicateurs!$A:$A,0))))</f>
        <v/>
      </c>
      <c r="G20" s="13">
        <f>IF($A20="","",SUMIFS(saisie_hebdo!$L:$L,saisie_hebdo!$I:$I,$A20))</f>
        <v/>
      </c>
      <c r="H20" s="13">
        <f>IF($A20="","",SUMIFS(saisie_hebdo!$M:$M,saisie_hebdo!$I:$I,$A20))</f>
        <v/>
      </c>
      <c r="I20" s="14">
        <f>IF(OR($A20="",L20=0),"",IF(D20="Pourcentage",IF(H20&gt;0,G20/H20*100,""),G20))</f>
        <v/>
      </c>
      <c r="J20" s="15">
        <f>IF(OR(I20="",F20="",F20=0),"",I20/F20)</f>
        <v/>
      </c>
      <c r="K20" s="12">
        <f>IF(OR($A20="",L20=0),"",IF(_xlfn.MAXIFS(saisie_hebdo!$C:$C,saisie_hebdo!$I:$I,$A20)=0,"",_xlfn.MAXIFS(saisie_hebdo!$C:$C,saisie_hebdo!$I:$I,$A20)))</f>
        <v/>
      </c>
      <c r="L20" s="12">
        <f>IF($A20="","",COUNTIFS(saisie_hebdo!$I:$I,$A20))</f>
        <v/>
      </c>
      <c r="M20" s="12">
        <f>IF($A20="","",IF(L20=0,"Non rapporté",IF(F20="","Suivi sans cible",IF(D20="Pourcentage",IF(I20&gt;=F20,"Cible atteinte","Sous la cible"),IF(J20&gt;=1,"Cible atteinte","En cours")))))</f>
        <v/>
      </c>
    </row>
    <row r="21">
      <c r="A21" s="12">
        <f>IFERROR(INDEX(ref_indicateurs!$A:$A,18)&amp;"","")</f>
        <v/>
      </c>
      <c r="B21" s="12">
        <f>IF($A21="","",INDEX(ref_indicateurs!$B:$B,MATCH($A21,ref_indicateurs!$A:$A,0))&amp;"")</f>
        <v/>
      </c>
      <c r="C21" s="12">
        <f>IF($A21="","",INDEX(ref_indicateurs!$C:$C,MATCH($A21,ref_indicateurs!$A:$A,0))&amp;"")</f>
        <v/>
      </c>
      <c r="D21" s="12">
        <f>IF($A21="","",INDEX(ref_indicateurs!$E:$E,MATCH($A21,ref_indicateurs!$A:$A,0))&amp;"")</f>
        <v/>
      </c>
      <c r="E21" s="12">
        <f>IF($A21="","",INDEX(ref_indicateurs!$M:$M,MATCH($A21,ref_indicateurs!$A:$A,0))&amp;"")</f>
        <v/>
      </c>
      <c r="F21" s="12">
        <f>IF($A21="","",IF(INDEX(ref_indicateurs!$O:$O,MATCH($A21,ref_indicateurs!$A:$A,0))="","",INDEX(ref_indicateurs!$O:$O,MATCH($A21,ref_indicateurs!$A:$A,0))))</f>
        <v/>
      </c>
      <c r="G21" s="13">
        <f>IF($A21="","",SUMIFS(saisie_hebdo!$L:$L,saisie_hebdo!$I:$I,$A21))</f>
        <v/>
      </c>
      <c r="H21" s="13">
        <f>IF($A21="","",SUMIFS(saisie_hebdo!$M:$M,saisie_hebdo!$I:$I,$A21))</f>
        <v/>
      </c>
      <c r="I21" s="14">
        <f>IF(OR($A21="",L21=0),"",IF(D21="Pourcentage",IF(H21&gt;0,G21/H21*100,""),G21))</f>
        <v/>
      </c>
      <c r="J21" s="15">
        <f>IF(OR(I21="",F21="",F21=0),"",I21/F21)</f>
        <v/>
      </c>
      <c r="K21" s="12">
        <f>IF(OR($A21="",L21=0),"",IF(_xlfn.MAXIFS(saisie_hebdo!$C:$C,saisie_hebdo!$I:$I,$A21)=0,"",_xlfn.MAXIFS(saisie_hebdo!$C:$C,saisie_hebdo!$I:$I,$A21)))</f>
        <v/>
      </c>
      <c r="L21" s="12">
        <f>IF($A21="","",COUNTIFS(saisie_hebdo!$I:$I,$A21))</f>
        <v/>
      </c>
      <c r="M21" s="12">
        <f>IF($A21="","",IF(L21=0,"Non rapporté",IF(F21="","Suivi sans cible",IF(D21="Pourcentage",IF(I21&gt;=F21,"Cible atteinte","Sous la cible"),IF(J21&gt;=1,"Cible atteinte","En cours")))))</f>
        <v/>
      </c>
    </row>
    <row r="22">
      <c r="A22" s="12">
        <f>IFERROR(INDEX(ref_indicateurs!$A:$A,19)&amp;"","")</f>
        <v/>
      </c>
      <c r="B22" s="12">
        <f>IF($A22="","",INDEX(ref_indicateurs!$B:$B,MATCH($A22,ref_indicateurs!$A:$A,0))&amp;"")</f>
        <v/>
      </c>
      <c r="C22" s="12">
        <f>IF($A22="","",INDEX(ref_indicateurs!$C:$C,MATCH($A22,ref_indicateurs!$A:$A,0))&amp;"")</f>
        <v/>
      </c>
      <c r="D22" s="12">
        <f>IF($A22="","",INDEX(ref_indicateurs!$E:$E,MATCH($A22,ref_indicateurs!$A:$A,0))&amp;"")</f>
        <v/>
      </c>
      <c r="E22" s="12">
        <f>IF($A22="","",INDEX(ref_indicateurs!$M:$M,MATCH($A22,ref_indicateurs!$A:$A,0))&amp;"")</f>
        <v/>
      </c>
      <c r="F22" s="12">
        <f>IF($A22="","",IF(INDEX(ref_indicateurs!$O:$O,MATCH($A22,ref_indicateurs!$A:$A,0))="","",INDEX(ref_indicateurs!$O:$O,MATCH($A22,ref_indicateurs!$A:$A,0))))</f>
        <v/>
      </c>
      <c r="G22" s="13">
        <f>IF($A22="","",SUMIFS(saisie_hebdo!$L:$L,saisie_hebdo!$I:$I,$A22))</f>
        <v/>
      </c>
      <c r="H22" s="13">
        <f>IF($A22="","",SUMIFS(saisie_hebdo!$M:$M,saisie_hebdo!$I:$I,$A22))</f>
        <v/>
      </c>
      <c r="I22" s="14">
        <f>IF(OR($A22="",L22=0),"",IF(D22="Pourcentage",IF(H22&gt;0,G22/H22*100,""),G22))</f>
        <v/>
      </c>
      <c r="J22" s="15">
        <f>IF(OR(I22="",F22="",F22=0),"",I22/F22)</f>
        <v/>
      </c>
      <c r="K22" s="12">
        <f>IF(OR($A22="",L22=0),"",IF(_xlfn.MAXIFS(saisie_hebdo!$C:$C,saisie_hebdo!$I:$I,$A22)=0,"",_xlfn.MAXIFS(saisie_hebdo!$C:$C,saisie_hebdo!$I:$I,$A22)))</f>
        <v/>
      </c>
      <c r="L22" s="12">
        <f>IF($A22="","",COUNTIFS(saisie_hebdo!$I:$I,$A22))</f>
        <v/>
      </c>
      <c r="M22" s="12">
        <f>IF($A22="","",IF(L22=0,"Non rapporté",IF(F22="","Suivi sans cible",IF(D22="Pourcentage",IF(I22&gt;=F22,"Cible atteinte","Sous la cible"),IF(J22&gt;=1,"Cible atteinte","En cours")))))</f>
        <v/>
      </c>
    </row>
    <row r="23">
      <c r="A23" s="12">
        <f>IFERROR(INDEX(ref_indicateurs!$A:$A,20)&amp;"","")</f>
        <v/>
      </c>
      <c r="B23" s="12">
        <f>IF($A23="","",INDEX(ref_indicateurs!$B:$B,MATCH($A23,ref_indicateurs!$A:$A,0))&amp;"")</f>
        <v/>
      </c>
      <c r="C23" s="12">
        <f>IF($A23="","",INDEX(ref_indicateurs!$C:$C,MATCH($A23,ref_indicateurs!$A:$A,0))&amp;"")</f>
        <v/>
      </c>
      <c r="D23" s="12">
        <f>IF($A23="","",INDEX(ref_indicateurs!$E:$E,MATCH($A23,ref_indicateurs!$A:$A,0))&amp;"")</f>
        <v/>
      </c>
      <c r="E23" s="12">
        <f>IF($A23="","",INDEX(ref_indicateurs!$M:$M,MATCH($A23,ref_indicateurs!$A:$A,0))&amp;"")</f>
        <v/>
      </c>
      <c r="F23" s="12">
        <f>IF($A23="","",IF(INDEX(ref_indicateurs!$O:$O,MATCH($A23,ref_indicateurs!$A:$A,0))="","",INDEX(ref_indicateurs!$O:$O,MATCH($A23,ref_indicateurs!$A:$A,0))))</f>
        <v/>
      </c>
      <c r="G23" s="13">
        <f>IF($A23="","",SUMIFS(saisie_hebdo!$L:$L,saisie_hebdo!$I:$I,$A23))</f>
        <v/>
      </c>
      <c r="H23" s="13">
        <f>IF($A23="","",SUMIFS(saisie_hebdo!$M:$M,saisie_hebdo!$I:$I,$A23))</f>
        <v/>
      </c>
      <c r="I23" s="14">
        <f>IF(OR($A23="",L23=0),"",IF(D23="Pourcentage",IF(H23&gt;0,G23/H23*100,""),G23))</f>
        <v/>
      </c>
      <c r="J23" s="15">
        <f>IF(OR(I23="",F23="",F23=0),"",I23/F23)</f>
        <v/>
      </c>
      <c r="K23" s="12">
        <f>IF(OR($A23="",L23=0),"",IF(_xlfn.MAXIFS(saisie_hebdo!$C:$C,saisie_hebdo!$I:$I,$A23)=0,"",_xlfn.MAXIFS(saisie_hebdo!$C:$C,saisie_hebdo!$I:$I,$A23)))</f>
        <v/>
      </c>
      <c r="L23" s="12">
        <f>IF($A23="","",COUNTIFS(saisie_hebdo!$I:$I,$A23))</f>
        <v/>
      </c>
      <c r="M23" s="12">
        <f>IF($A23="","",IF(L23=0,"Non rapporté",IF(F23="","Suivi sans cible",IF(D23="Pourcentage",IF(I23&gt;=F23,"Cible atteinte","Sous la cible"),IF(J23&gt;=1,"Cible atteinte","En cours")))))</f>
        <v/>
      </c>
    </row>
    <row r="24">
      <c r="A24" s="12">
        <f>IFERROR(INDEX(ref_indicateurs!$A:$A,21)&amp;"","")</f>
        <v/>
      </c>
      <c r="B24" s="12">
        <f>IF($A24="","",INDEX(ref_indicateurs!$B:$B,MATCH($A24,ref_indicateurs!$A:$A,0))&amp;"")</f>
        <v/>
      </c>
      <c r="C24" s="12">
        <f>IF($A24="","",INDEX(ref_indicateurs!$C:$C,MATCH($A24,ref_indicateurs!$A:$A,0))&amp;"")</f>
        <v/>
      </c>
      <c r="D24" s="12">
        <f>IF($A24="","",INDEX(ref_indicateurs!$E:$E,MATCH($A24,ref_indicateurs!$A:$A,0))&amp;"")</f>
        <v/>
      </c>
      <c r="E24" s="12">
        <f>IF($A24="","",INDEX(ref_indicateurs!$M:$M,MATCH($A24,ref_indicateurs!$A:$A,0))&amp;"")</f>
        <v/>
      </c>
      <c r="F24" s="12">
        <f>IF($A24="","",IF(INDEX(ref_indicateurs!$O:$O,MATCH($A24,ref_indicateurs!$A:$A,0))="","",INDEX(ref_indicateurs!$O:$O,MATCH($A24,ref_indicateurs!$A:$A,0))))</f>
        <v/>
      </c>
      <c r="G24" s="13">
        <f>IF($A24="","",SUMIFS(saisie_hebdo!$L:$L,saisie_hebdo!$I:$I,$A24))</f>
        <v/>
      </c>
      <c r="H24" s="13">
        <f>IF($A24="","",SUMIFS(saisie_hebdo!$M:$M,saisie_hebdo!$I:$I,$A24))</f>
        <v/>
      </c>
      <c r="I24" s="14">
        <f>IF(OR($A24="",L24=0),"",IF(D24="Pourcentage",IF(H24&gt;0,G24/H24*100,""),G24))</f>
        <v/>
      </c>
      <c r="J24" s="15">
        <f>IF(OR(I24="",F24="",F24=0),"",I24/F24)</f>
        <v/>
      </c>
      <c r="K24" s="12">
        <f>IF(OR($A24="",L24=0),"",IF(_xlfn.MAXIFS(saisie_hebdo!$C:$C,saisie_hebdo!$I:$I,$A24)=0,"",_xlfn.MAXIFS(saisie_hebdo!$C:$C,saisie_hebdo!$I:$I,$A24)))</f>
        <v/>
      </c>
      <c r="L24" s="12">
        <f>IF($A24="","",COUNTIFS(saisie_hebdo!$I:$I,$A24))</f>
        <v/>
      </c>
      <c r="M24" s="12">
        <f>IF($A24="","",IF(L24=0,"Non rapporté",IF(F24="","Suivi sans cible",IF(D24="Pourcentage",IF(I24&gt;=F24,"Cible atteinte","Sous la cible"),IF(J24&gt;=1,"Cible atteinte","En cours")))))</f>
        <v/>
      </c>
    </row>
    <row r="25">
      <c r="A25" s="12">
        <f>IFERROR(INDEX(ref_indicateurs!$A:$A,22)&amp;"","")</f>
        <v/>
      </c>
      <c r="B25" s="12">
        <f>IF($A25="","",INDEX(ref_indicateurs!$B:$B,MATCH($A25,ref_indicateurs!$A:$A,0))&amp;"")</f>
        <v/>
      </c>
      <c r="C25" s="12">
        <f>IF($A25="","",INDEX(ref_indicateurs!$C:$C,MATCH($A25,ref_indicateurs!$A:$A,0))&amp;"")</f>
        <v/>
      </c>
      <c r="D25" s="12">
        <f>IF($A25="","",INDEX(ref_indicateurs!$E:$E,MATCH($A25,ref_indicateurs!$A:$A,0))&amp;"")</f>
        <v/>
      </c>
      <c r="E25" s="12">
        <f>IF($A25="","",INDEX(ref_indicateurs!$M:$M,MATCH($A25,ref_indicateurs!$A:$A,0))&amp;"")</f>
        <v/>
      </c>
      <c r="F25" s="12">
        <f>IF($A25="","",IF(INDEX(ref_indicateurs!$O:$O,MATCH($A25,ref_indicateurs!$A:$A,0))="","",INDEX(ref_indicateurs!$O:$O,MATCH($A25,ref_indicateurs!$A:$A,0))))</f>
        <v/>
      </c>
      <c r="G25" s="13">
        <f>IF($A25="","",SUMIFS(saisie_hebdo!$L:$L,saisie_hebdo!$I:$I,$A25))</f>
        <v/>
      </c>
      <c r="H25" s="13">
        <f>IF($A25="","",SUMIFS(saisie_hebdo!$M:$M,saisie_hebdo!$I:$I,$A25))</f>
        <v/>
      </c>
      <c r="I25" s="14">
        <f>IF(OR($A25="",L25=0),"",IF(D25="Pourcentage",IF(H25&gt;0,G25/H25*100,""),G25))</f>
        <v/>
      </c>
      <c r="J25" s="15">
        <f>IF(OR(I25="",F25="",F25=0),"",I25/F25)</f>
        <v/>
      </c>
      <c r="K25" s="12">
        <f>IF(OR($A25="",L25=0),"",IF(_xlfn.MAXIFS(saisie_hebdo!$C:$C,saisie_hebdo!$I:$I,$A25)=0,"",_xlfn.MAXIFS(saisie_hebdo!$C:$C,saisie_hebdo!$I:$I,$A25)))</f>
        <v/>
      </c>
      <c r="L25" s="12">
        <f>IF($A25="","",COUNTIFS(saisie_hebdo!$I:$I,$A25))</f>
        <v/>
      </c>
      <c r="M25" s="12">
        <f>IF($A25="","",IF(L25=0,"Non rapporté",IF(F25="","Suivi sans cible",IF(D25="Pourcentage",IF(I25&gt;=F25,"Cible atteinte","Sous la cible"),IF(J25&gt;=1,"Cible atteinte","En cours")))))</f>
        <v/>
      </c>
    </row>
    <row r="26">
      <c r="A26" s="12">
        <f>IFERROR(INDEX(ref_indicateurs!$A:$A,23)&amp;"","")</f>
        <v/>
      </c>
      <c r="B26" s="12">
        <f>IF($A26="","",INDEX(ref_indicateurs!$B:$B,MATCH($A26,ref_indicateurs!$A:$A,0))&amp;"")</f>
        <v/>
      </c>
      <c r="C26" s="12">
        <f>IF($A26="","",INDEX(ref_indicateurs!$C:$C,MATCH($A26,ref_indicateurs!$A:$A,0))&amp;"")</f>
        <v/>
      </c>
      <c r="D26" s="12">
        <f>IF($A26="","",INDEX(ref_indicateurs!$E:$E,MATCH($A26,ref_indicateurs!$A:$A,0))&amp;"")</f>
        <v/>
      </c>
      <c r="E26" s="12">
        <f>IF($A26="","",INDEX(ref_indicateurs!$M:$M,MATCH($A26,ref_indicateurs!$A:$A,0))&amp;"")</f>
        <v/>
      </c>
      <c r="F26" s="12">
        <f>IF($A26="","",IF(INDEX(ref_indicateurs!$O:$O,MATCH($A26,ref_indicateurs!$A:$A,0))="","",INDEX(ref_indicateurs!$O:$O,MATCH($A26,ref_indicateurs!$A:$A,0))))</f>
        <v/>
      </c>
      <c r="G26" s="13">
        <f>IF($A26="","",SUMIFS(saisie_hebdo!$L:$L,saisie_hebdo!$I:$I,$A26))</f>
        <v/>
      </c>
      <c r="H26" s="13">
        <f>IF($A26="","",SUMIFS(saisie_hebdo!$M:$M,saisie_hebdo!$I:$I,$A26))</f>
        <v/>
      </c>
      <c r="I26" s="14">
        <f>IF(OR($A26="",L26=0),"",IF(D26="Pourcentage",IF(H26&gt;0,G26/H26*100,""),G26))</f>
        <v/>
      </c>
      <c r="J26" s="15">
        <f>IF(OR(I26="",F26="",F26=0),"",I26/F26)</f>
        <v/>
      </c>
      <c r="K26" s="12">
        <f>IF(OR($A26="",L26=0),"",IF(_xlfn.MAXIFS(saisie_hebdo!$C:$C,saisie_hebdo!$I:$I,$A26)=0,"",_xlfn.MAXIFS(saisie_hebdo!$C:$C,saisie_hebdo!$I:$I,$A26)))</f>
        <v/>
      </c>
      <c r="L26" s="12">
        <f>IF($A26="","",COUNTIFS(saisie_hebdo!$I:$I,$A26))</f>
        <v/>
      </c>
      <c r="M26" s="12">
        <f>IF($A26="","",IF(L26=0,"Non rapporté",IF(F26="","Suivi sans cible",IF(D26="Pourcentage",IF(I26&gt;=F26,"Cible atteinte","Sous la cible"),IF(J26&gt;=1,"Cible atteinte","En cours")))))</f>
        <v/>
      </c>
    </row>
    <row r="27">
      <c r="A27" s="12">
        <f>IFERROR(INDEX(ref_indicateurs!$A:$A,24)&amp;"","")</f>
        <v/>
      </c>
      <c r="B27" s="12">
        <f>IF($A27="","",INDEX(ref_indicateurs!$B:$B,MATCH($A27,ref_indicateurs!$A:$A,0))&amp;"")</f>
        <v/>
      </c>
      <c r="C27" s="12">
        <f>IF($A27="","",INDEX(ref_indicateurs!$C:$C,MATCH($A27,ref_indicateurs!$A:$A,0))&amp;"")</f>
        <v/>
      </c>
      <c r="D27" s="12">
        <f>IF($A27="","",INDEX(ref_indicateurs!$E:$E,MATCH($A27,ref_indicateurs!$A:$A,0))&amp;"")</f>
        <v/>
      </c>
      <c r="E27" s="12">
        <f>IF($A27="","",INDEX(ref_indicateurs!$M:$M,MATCH($A27,ref_indicateurs!$A:$A,0))&amp;"")</f>
        <v/>
      </c>
      <c r="F27" s="12">
        <f>IF($A27="","",IF(INDEX(ref_indicateurs!$O:$O,MATCH($A27,ref_indicateurs!$A:$A,0))="","",INDEX(ref_indicateurs!$O:$O,MATCH($A27,ref_indicateurs!$A:$A,0))))</f>
        <v/>
      </c>
      <c r="G27" s="13">
        <f>IF($A27="","",SUMIFS(saisie_hebdo!$L:$L,saisie_hebdo!$I:$I,$A27))</f>
        <v/>
      </c>
      <c r="H27" s="13">
        <f>IF($A27="","",SUMIFS(saisie_hebdo!$M:$M,saisie_hebdo!$I:$I,$A27))</f>
        <v/>
      </c>
      <c r="I27" s="14">
        <f>IF(OR($A27="",L27=0),"",IF(D27="Pourcentage",IF(H27&gt;0,G27/H27*100,""),G27))</f>
        <v/>
      </c>
      <c r="J27" s="15">
        <f>IF(OR(I27="",F27="",F27=0),"",I27/F27)</f>
        <v/>
      </c>
      <c r="K27" s="12">
        <f>IF(OR($A27="",L27=0),"",IF(_xlfn.MAXIFS(saisie_hebdo!$C:$C,saisie_hebdo!$I:$I,$A27)=0,"",_xlfn.MAXIFS(saisie_hebdo!$C:$C,saisie_hebdo!$I:$I,$A27)))</f>
        <v/>
      </c>
      <c r="L27" s="12">
        <f>IF($A27="","",COUNTIFS(saisie_hebdo!$I:$I,$A27))</f>
        <v/>
      </c>
      <c r="M27" s="12">
        <f>IF($A27="","",IF(L27=0,"Non rapporté",IF(F27="","Suivi sans cible",IF(D27="Pourcentage",IF(I27&gt;=F27,"Cible atteinte","Sous la cible"),IF(J27&gt;=1,"Cible atteinte","En cours")))))</f>
        <v/>
      </c>
    </row>
    <row r="28">
      <c r="A28" s="12">
        <f>IFERROR(INDEX(ref_indicateurs!$A:$A,25)&amp;"","")</f>
        <v/>
      </c>
      <c r="B28" s="12">
        <f>IF($A28="","",INDEX(ref_indicateurs!$B:$B,MATCH($A28,ref_indicateurs!$A:$A,0))&amp;"")</f>
        <v/>
      </c>
      <c r="C28" s="12">
        <f>IF($A28="","",INDEX(ref_indicateurs!$C:$C,MATCH($A28,ref_indicateurs!$A:$A,0))&amp;"")</f>
        <v/>
      </c>
      <c r="D28" s="12">
        <f>IF($A28="","",INDEX(ref_indicateurs!$E:$E,MATCH($A28,ref_indicateurs!$A:$A,0))&amp;"")</f>
        <v/>
      </c>
      <c r="E28" s="12">
        <f>IF($A28="","",INDEX(ref_indicateurs!$M:$M,MATCH($A28,ref_indicateurs!$A:$A,0))&amp;"")</f>
        <v/>
      </c>
      <c r="F28" s="12">
        <f>IF($A28="","",IF(INDEX(ref_indicateurs!$O:$O,MATCH($A28,ref_indicateurs!$A:$A,0))="","",INDEX(ref_indicateurs!$O:$O,MATCH($A28,ref_indicateurs!$A:$A,0))))</f>
        <v/>
      </c>
      <c r="G28" s="13">
        <f>IF($A28="","",SUMIFS(saisie_hebdo!$L:$L,saisie_hebdo!$I:$I,$A28))</f>
        <v/>
      </c>
      <c r="H28" s="13">
        <f>IF($A28="","",SUMIFS(saisie_hebdo!$M:$M,saisie_hebdo!$I:$I,$A28))</f>
        <v/>
      </c>
      <c r="I28" s="14">
        <f>IF(OR($A28="",L28=0),"",IF(D28="Pourcentage",IF(H28&gt;0,G28/H28*100,""),G28))</f>
        <v/>
      </c>
      <c r="J28" s="15">
        <f>IF(OR(I28="",F28="",F28=0),"",I28/F28)</f>
        <v/>
      </c>
      <c r="K28" s="12">
        <f>IF(OR($A28="",L28=0),"",IF(_xlfn.MAXIFS(saisie_hebdo!$C:$C,saisie_hebdo!$I:$I,$A28)=0,"",_xlfn.MAXIFS(saisie_hebdo!$C:$C,saisie_hebdo!$I:$I,$A28)))</f>
        <v/>
      </c>
      <c r="L28" s="12">
        <f>IF($A28="","",COUNTIFS(saisie_hebdo!$I:$I,$A28))</f>
        <v/>
      </c>
      <c r="M28" s="12">
        <f>IF($A28="","",IF(L28=0,"Non rapporté",IF(F28="","Suivi sans cible",IF(D28="Pourcentage",IF(I28&gt;=F28,"Cible atteinte","Sous la cible"),IF(J28&gt;=1,"Cible atteinte","En cours")))))</f>
        <v/>
      </c>
    </row>
    <row r="29">
      <c r="A29" s="12">
        <f>IFERROR(INDEX(ref_indicateurs!$A:$A,26)&amp;"","")</f>
        <v/>
      </c>
      <c r="B29" s="12">
        <f>IF($A29="","",INDEX(ref_indicateurs!$B:$B,MATCH($A29,ref_indicateurs!$A:$A,0))&amp;"")</f>
        <v/>
      </c>
      <c r="C29" s="12">
        <f>IF($A29="","",INDEX(ref_indicateurs!$C:$C,MATCH($A29,ref_indicateurs!$A:$A,0))&amp;"")</f>
        <v/>
      </c>
      <c r="D29" s="12">
        <f>IF($A29="","",INDEX(ref_indicateurs!$E:$E,MATCH($A29,ref_indicateurs!$A:$A,0))&amp;"")</f>
        <v/>
      </c>
      <c r="E29" s="12">
        <f>IF($A29="","",INDEX(ref_indicateurs!$M:$M,MATCH($A29,ref_indicateurs!$A:$A,0))&amp;"")</f>
        <v/>
      </c>
      <c r="F29" s="12">
        <f>IF($A29="","",IF(INDEX(ref_indicateurs!$O:$O,MATCH($A29,ref_indicateurs!$A:$A,0))="","",INDEX(ref_indicateurs!$O:$O,MATCH($A29,ref_indicateurs!$A:$A,0))))</f>
        <v/>
      </c>
      <c r="G29" s="13">
        <f>IF($A29="","",SUMIFS(saisie_hebdo!$L:$L,saisie_hebdo!$I:$I,$A29))</f>
        <v/>
      </c>
      <c r="H29" s="13">
        <f>IF($A29="","",SUMIFS(saisie_hebdo!$M:$M,saisie_hebdo!$I:$I,$A29))</f>
        <v/>
      </c>
      <c r="I29" s="14">
        <f>IF(OR($A29="",L29=0),"",IF(D29="Pourcentage",IF(H29&gt;0,G29/H29*100,""),G29))</f>
        <v/>
      </c>
      <c r="J29" s="15">
        <f>IF(OR(I29="",F29="",F29=0),"",I29/F29)</f>
        <v/>
      </c>
      <c r="K29" s="12">
        <f>IF(OR($A29="",L29=0),"",IF(_xlfn.MAXIFS(saisie_hebdo!$C:$C,saisie_hebdo!$I:$I,$A29)=0,"",_xlfn.MAXIFS(saisie_hebdo!$C:$C,saisie_hebdo!$I:$I,$A29)))</f>
        <v/>
      </c>
      <c r="L29" s="12">
        <f>IF($A29="","",COUNTIFS(saisie_hebdo!$I:$I,$A29))</f>
        <v/>
      </c>
      <c r="M29" s="12">
        <f>IF($A29="","",IF(L29=0,"Non rapporté",IF(F29="","Suivi sans cible",IF(D29="Pourcentage",IF(I29&gt;=F29,"Cible atteinte","Sous la cible"),IF(J29&gt;=1,"Cible atteinte","En cours")))))</f>
        <v/>
      </c>
    </row>
    <row r="30">
      <c r="A30" s="12">
        <f>IFERROR(INDEX(ref_indicateurs!$A:$A,27)&amp;"","")</f>
        <v/>
      </c>
      <c r="B30" s="12">
        <f>IF($A30="","",INDEX(ref_indicateurs!$B:$B,MATCH($A30,ref_indicateurs!$A:$A,0))&amp;"")</f>
        <v/>
      </c>
      <c r="C30" s="12">
        <f>IF($A30="","",INDEX(ref_indicateurs!$C:$C,MATCH($A30,ref_indicateurs!$A:$A,0))&amp;"")</f>
        <v/>
      </c>
      <c r="D30" s="12">
        <f>IF($A30="","",INDEX(ref_indicateurs!$E:$E,MATCH($A30,ref_indicateurs!$A:$A,0))&amp;"")</f>
        <v/>
      </c>
      <c r="E30" s="12">
        <f>IF($A30="","",INDEX(ref_indicateurs!$M:$M,MATCH($A30,ref_indicateurs!$A:$A,0))&amp;"")</f>
        <v/>
      </c>
      <c r="F30" s="12">
        <f>IF($A30="","",IF(INDEX(ref_indicateurs!$O:$O,MATCH($A30,ref_indicateurs!$A:$A,0))="","",INDEX(ref_indicateurs!$O:$O,MATCH($A30,ref_indicateurs!$A:$A,0))))</f>
        <v/>
      </c>
      <c r="G30" s="13">
        <f>IF($A30="","",SUMIFS(saisie_hebdo!$L:$L,saisie_hebdo!$I:$I,$A30))</f>
        <v/>
      </c>
      <c r="H30" s="13">
        <f>IF($A30="","",SUMIFS(saisie_hebdo!$M:$M,saisie_hebdo!$I:$I,$A30))</f>
        <v/>
      </c>
      <c r="I30" s="14">
        <f>IF(OR($A30="",L30=0),"",IF(D30="Pourcentage",IF(H30&gt;0,G30/H30*100,""),G30))</f>
        <v/>
      </c>
      <c r="J30" s="15">
        <f>IF(OR(I30="",F30="",F30=0),"",I30/F30)</f>
        <v/>
      </c>
      <c r="K30" s="12">
        <f>IF(OR($A30="",L30=0),"",IF(_xlfn.MAXIFS(saisie_hebdo!$C:$C,saisie_hebdo!$I:$I,$A30)=0,"",_xlfn.MAXIFS(saisie_hebdo!$C:$C,saisie_hebdo!$I:$I,$A30)))</f>
        <v/>
      </c>
      <c r="L30" s="12">
        <f>IF($A30="","",COUNTIFS(saisie_hebdo!$I:$I,$A30))</f>
        <v/>
      </c>
      <c r="M30" s="12">
        <f>IF($A30="","",IF(L30=0,"Non rapporté",IF(F30="","Suivi sans cible",IF(D30="Pourcentage",IF(I30&gt;=F30,"Cible atteinte","Sous la cible"),IF(J30&gt;=1,"Cible atteinte","En cours")))))</f>
        <v/>
      </c>
    </row>
    <row r="31">
      <c r="A31" s="12">
        <f>IFERROR(INDEX(ref_indicateurs!$A:$A,28)&amp;"","")</f>
        <v/>
      </c>
      <c r="B31" s="12">
        <f>IF($A31="","",INDEX(ref_indicateurs!$B:$B,MATCH($A31,ref_indicateurs!$A:$A,0))&amp;"")</f>
        <v/>
      </c>
      <c r="C31" s="12">
        <f>IF($A31="","",INDEX(ref_indicateurs!$C:$C,MATCH($A31,ref_indicateurs!$A:$A,0))&amp;"")</f>
        <v/>
      </c>
      <c r="D31" s="12">
        <f>IF($A31="","",INDEX(ref_indicateurs!$E:$E,MATCH($A31,ref_indicateurs!$A:$A,0))&amp;"")</f>
        <v/>
      </c>
      <c r="E31" s="12">
        <f>IF($A31="","",INDEX(ref_indicateurs!$M:$M,MATCH($A31,ref_indicateurs!$A:$A,0))&amp;"")</f>
        <v/>
      </c>
      <c r="F31" s="12">
        <f>IF($A31="","",IF(INDEX(ref_indicateurs!$O:$O,MATCH($A31,ref_indicateurs!$A:$A,0))="","",INDEX(ref_indicateurs!$O:$O,MATCH($A31,ref_indicateurs!$A:$A,0))))</f>
        <v/>
      </c>
      <c r="G31" s="13">
        <f>IF($A31="","",SUMIFS(saisie_hebdo!$L:$L,saisie_hebdo!$I:$I,$A31))</f>
        <v/>
      </c>
      <c r="H31" s="13">
        <f>IF($A31="","",SUMIFS(saisie_hebdo!$M:$M,saisie_hebdo!$I:$I,$A31))</f>
        <v/>
      </c>
      <c r="I31" s="14">
        <f>IF(OR($A31="",L31=0),"",IF(D31="Pourcentage",IF(H31&gt;0,G31/H31*100,""),G31))</f>
        <v/>
      </c>
      <c r="J31" s="15">
        <f>IF(OR(I31="",F31="",F31=0),"",I31/F31)</f>
        <v/>
      </c>
      <c r="K31" s="12">
        <f>IF(OR($A31="",L31=0),"",IF(_xlfn.MAXIFS(saisie_hebdo!$C:$C,saisie_hebdo!$I:$I,$A31)=0,"",_xlfn.MAXIFS(saisie_hebdo!$C:$C,saisie_hebdo!$I:$I,$A31)))</f>
        <v/>
      </c>
      <c r="L31" s="12">
        <f>IF($A31="","",COUNTIFS(saisie_hebdo!$I:$I,$A31))</f>
        <v/>
      </c>
      <c r="M31" s="12">
        <f>IF($A31="","",IF(L31=0,"Non rapporté",IF(F31="","Suivi sans cible",IF(D31="Pourcentage",IF(I31&gt;=F31,"Cible atteinte","Sous la cible"),IF(J31&gt;=1,"Cible atteinte","En cours")))))</f>
        <v/>
      </c>
    </row>
    <row r="32">
      <c r="A32" s="12">
        <f>IFERROR(INDEX(ref_indicateurs!$A:$A,29)&amp;"","")</f>
        <v/>
      </c>
      <c r="B32" s="12">
        <f>IF($A32="","",INDEX(ref_indicateurs!$B:$B,MATCH($A32,ref_indicateurs!$A:$A,0))&amp;"")</f>
        <v/>
      </c>
      <c r="C32" s="12">
        <f>IF($A32="","",INDEX(ref_indicateurs!$C:$C,MATCH($A32,ref_indicateurs!$A:$A,0))&amp;"")</f>
        <v/>
      </c>
      <c r="D32" s="12">
        <f>IF($A32="","",INDEX(ref_indicateurs!$E:$E,MATCH($A32,ref_indicateurs!$A:$A,0))&amp;"")</f>
        <v/>
      </c>
      <c r="E32" s="12">
        <f>IF($A32="","",INDEX(ref_indicateurs!$M:$M,MATCH($A32,ref_indicateurs!$A:$A,0))&amp;"")</f>
        <v/>
      </c>
      <c r="F32" s="12">
        <f>IF($A32="","",IF(INDEX(ref_indicateurs!$O:$O,MATCH($A32,ref_indicateurs!$A:$A,0))="","",INDEX(ref_indicateurs!$O:$O,MATCH($A32,ref_indicateurs!$A:$A,0))))</f>
        <v/>
      </c>
      <c r="G32" s="13">
        <f>IF($A32="","",SUMIFS(saisie_hebdo!$L:$L,saisie_hebdo!$I:$I,$A32))</f>
        <v/>
      </c>
      <c r="H32" s="13">
        <f>IF($A32="","",SUMIFS(saisie_hebdo!$M:$M,saisie_hebdo!$I:$I,$A32))</f>
        <v/>
      </c>
      <c r="I32" s="14">
        <f>IF(OR($A32="",L32=0),"",IF(D32="Pourcentage",IF(H32&gt;0,G32/H32*100,""),G32))</f>
        <v/>
      </c>
      <c r="J32" s="15">
        <f>IF(OR(I32="",F32="",F32=0),"",I32/F32)</f>
        <v/>
      </c>
      <c r="K32" s="12">
        <f>IF(OR($A32="",L32=0),"",IF(_xlfn.MAXIFS(saisie_hebdo!$C:$C,saisie_hebdo!$I:$I,$A32)=0,"",_xlfn.MAXIFS(saisie_hebdo!$C:$C,saisie_hebdo!$I:$I,$A32)))</f>
        <v/>
      </c>
      <c r="L32" s="12">
        <f>IF($A32="","",COUNTIFS(saisie_hebdo!$I:$I,$A32))</f>
        <v/>
      </c>
      <c r="M32" s="12">
        <f>IF($A32="","",IF(L32=0,"Non rapporté",IF(F32="","Suivi sans cible",IF(D32="Pourcentage",IF(I32&gt;=F32,"Cible atteinte","Sous la cible"),IF(J32&gt;=1,"Cible atteinte","En cours")))))</f>
        <v/>
      </c>
    </row>
    <row r="33">
      <c r="A33" s="12">
        <f>IFERROR(INDEX(ref_indicateurs!$A:$A,30)&amp;"","")</f>
        <v/>
      </c>
      <c r="B33" s="12">
        <f>IF($A33="","",INDEX(ref_indicateurs!$B:$B,MATCH($A33,ref_indicateurs!$A:$A,0))&amp;"")</f>
        <v/>
      </c>
      <c r="C33" s="12">
        <f>IF($A33="","",INDEX(ref_indicateurs!$C:$C,MATCH($A33,ref_indicateurs!$A:$A,0))&amp;"")</f>
        <v/>
      </c>
      <c r="D33" s="12">
        <f>IF($A33="","",INDEX(ref_indicateurs!$E:$E,MATCH($A33,ref_indicateurs!$A:$A,0))&amp;"")</f>
        <v/>
      </c>
      <c r="E33" s="12">
        <f>IF($A33="","",INDEX(ref_indicateurs!$M:$M,MATCH($A33,ref_indicateurs!$A:$A,0))&amp;"")</f>
        <v/>
      </c>
      <c r="F33" s="12">
        <f>IF($A33="","",IF(INDEX(ref_indicateurs!$O:$O,MATCH($A33,ref_indicateurs!$A:$A,0))="","",INDEX(ref_indicateurs!$O:$O,MATCH($A33,ref_indicateurs!$A:$A,0))))</f>
        <v/>
      </c>
      <c r="G33" s="13">
        <f>IF($A33="","",SUMIFS(saisie_hebdo!$L:$L,saisie_hebdo!$I:$I,$A33))</f>
        <v/>
      </c>
      <c r="H33" s="13">
        <f>IF($A33="","",SUMIFS(saisie_hebdo!$M:$M,saisie_hebdo!$I:$I,$A33))</f>
        <v/>
      </c>
      <c r="I33" s="14">
        <f>IF(OR($A33="",L33=0),"",IF(D33="Pourcentage",IF(H33&gt;0,G33/H33*100,""),G33))</f>
        <v/>
      </c>
      <c r="J33" s="15">
        <f>IF(OR(I33="",F33="",F33=0),"",I33/F33)</f>
        <v/>
      </c>
      <c r="K33" s="12">
        <f>IF(OR($A33="",L33=0),"",IF(_xlfn.MAXIFS(saisie_hebdo!$C:$C,saisie_hebdo!$I:$I,$A33)=0,"",_xlfn.MAXIFS(saisie_hebdo!$C:$C,saisie_hebdo!$I:$I,$A33)))</f>
        <v/>
      </c>
      <c r="L33" s="12">
        <f>IF($A33="","",COUNTIFS(saisie_hebdo!$I:$I,$A33))</f>
        <v/>
      </c>
      <c r="M33" s="12">
        <f>IF($A33="","",IF(L33=0,"Non rapporté",IF(F33="","Suivi sans cible",IF(D33="Pourcentage",IF(I33&gt;=F33,"Cible atteinte","Sous la cible"),IF(J33&gt;=1,"Cible atteinte","En cours")))))</f>
        <v/>
      </c>
    </row>
    <row r="34">
      <c r="A34" s="12">
        <f>IFERROR(INDEX(ref_indicateurs!$A:$A,31)&amp;"","")</f>
        <v/>
      </c>
      <c r="B34" s="12">
        <f>IF($A34="","",INDEX(ref_indicateurs!$B:$B,MATCH($A34,ref_indicateurs!$A:$A,0))&amp;"")</f>
        <v/>
      </c>
      <c r="C34" s="12">
        <f>IF($A34="","",INDEX(ref_indicateurs!$C:$C,MATCH($A34,ref_indicateurs!$A:$A,0))&amp;"")</f>
        <v/>
      </c>
      <c r="D34" s="12">
        <f>IF($A34="","",INDEX(ref_indicateurs!$E:$E,MATCH($A34,ref_indicateurs!$A:$A,0))&amp;"")</f>
        <v/>
      </c>
      <c r="E34" s="12">
        <f>IF($A34="","",INDEX(ref_indicateurs!$M:$M,MATCH($A34,ref_indicateurs!$A:$A,0))&amp;"")</f>
        <v/>
      </c>
      <c r="F34" s="12">
        <f>IF($A34="","",IF(INDEX(ref_indicateurs!$O:$O,MATCH($A34,ref_indicateurs!$A:$A,0))="","",INDEX(ref_indicateurs!$O:$O,MATCH($A34,ref_indicateurs!$A:$A,0))))</f>
        <v/>
      </c>
      <c r="G34" s="13">
        <f>IF($A34="","",SUMIFS(saisie_hebdo!$L:$L,saisie_hebdo!$I:$I,$A34))</f>
        <v/>
      </c>
      <c r="H34" s="13">
        <f>IF($A34="","",SUMIFS(saisie_hebdo!$M:$M,saisie_hebdo!$I:$I,$A34))</f>
        <v/>
      </c>
      <c r="I34" s="14">
        <f>IF(OR($A34="",L34=0),"",IF(D34="Pourcentage",IF(H34&gt;0,G34/H34*100,""),G34))</f>
        <v/>
      </c>
      <c r="J34" s="15">
        <f>IF(OR(I34="",F34="",F34=0),"",I34/F34)</f>
        <v/>
      </c>
      <c r="K34" s="12">
        <f>IF(OR($A34="",L34=0),"",IF(_xlfn.MAXIFS(saisie_hebdo!$C:$C,saisie_hebdo!$I:$I,$A34)=0,"",_xlfn.MAXIFS(saisie_hebdo!$C:$C,saisie_hebdo!$I:$I,$A34)))</f>
        <v/>
      </c>
      <c r="L34" s="12">
        <f>IF($A34="","",COUNTIFS(saisie_hebdo!$I:$I,$A34))</f>
        <v/>
      </c>
      <c r="M34" s="12">
        <f>IF($A34="","",IF(L34=0,"Non rapporté",IF(F34="","Suivi sans cible",IF(D34="Pourcentage",IF(I34&gt;=F34,"Cible atteinte","Sous la cible"),IF(J34&gt;=1,"Cible atteinte","En cours")))))</f>
        <v/>
      </c>
    </row>
    <row r="35">
      <c r="A35" s="12">
        <f>IFERROR(INDEX(ref_indicateurs!$A:$A,32)&amp;"","")</f>
        <v/>
      </c>
      <c r="B35" s="12">
        <f>IF($A35="","",INDEX(ref_indicateurs!$B:$B,MATCH($A35,ref_indicateurs!$A:$A,0))&amp;"")</f>
        <v/>
      </c>
      <c r="C35" s="12">
        <f>IF($A35="","",INDEX(ref_indicateurs!$C:$C,MATCH($A35,ref_indicateurs!$A:$A,0))&amp;"")</f>
        <v/>
      </c>
      <c r="D35" s="12">
        <f>IF($A35="","",INDEX(ref_indicateurs!$E:$E,MATCH($A35,ref_indicateurs!$A:$A,0))&amp;"")</f>
        <v/>
      </c>
      <c r="E35" s="12">
        <f>IF($A35="","",INDEX(ref_indicateurs!$M:$M,MATCH($A35,ref_indicateurs!$A:$A,0))&amp;"")</f>
        <v/>
      </c>
      <c r="F35" s="12">
        <f>IF($A35="","",IF(INDEX(ref_indicateurs!$O:$O,MATCH($A35,ref_indicateurs!$A:$A,0))="","",INDEX(ref_indicateurs!$O:$O,MATCH($A35,ref_indicateurs!$A:$A,0))))</f>
        <v/>
      </c>
      <c r="G35" s="13">
        <f>IF($A35="","",SUMIFS(saisie_hebdo!$L:$L,saisie_hebdo!$I:$I,$A35))</f>
        <v/>
      </c>
      <c r="H35" s="13">
        <f>IF($A35="","",SUMIFS(saisie_hebdo!$M:$M,saisie_hebdo!$I:$I,$A35))</f>
        <v/>
      </c>
      <c r="I35" s="14">
        <f>IF(OR($A35="",L35=0),"",IF(D35="Pourcentage",IF(H35&gt;0,G35/H35*100,""),G35))</f>
        <v/>
      </c>
      <c r="J35" s="15">
        <f>IF(OR(I35="",F35="",F35=0),"",I35/F35)</f>
        <v/>
      </c>
      <c r="K35" s="12">
        <f>IF(OR($A35="",L35=0),"",IF(_xlfn.MAXIFS(saisie_hebdo!$C:$C,saisie_hebdo!$I:$I,$A35)=0,"",_xlfn.MAXIFS(saisie_hebdo!$C:$C,saisie_hebdo!$I:$I,$A35)))</f>
        <v/>
      </c>
      <c r="L35" s="12">
        <f>IF($A35="","",COUNTIFS(saisie_hebdo!$I:$I,$A35))</f>
        <v/>
      </c>
      <c r="M35" s="12">
        <f>IF($A35="","",IF(L35=0,"Non rapporté",IF(F35="","Suivi sans cible",IF(D35="Pourcentage",IF(I35&gt;=F35,"Cible atteinte","Sous la cible"),IF(J35&gt;=1,"Cible atteinte","En cours")))))</f>
        <v/>
      </c>
    </row>
    <row r="36">
      <c r="A36" s="12">
        <f>IFERROR(INDEX(ref_indicateurs!$A:$A,33)&amp;"","")</f>
        <v/>
      </c>
      <c r="B36" s="12">
        <f>IF($A36="","",INDEX(ref_indicateurs!$B:$B,MATCH($A36,ref_indicateurs!$A:$A,0))&amp;"")</f>
        <v/>
      </c>
      <c r="C36" s="12">
        <f>IF($A36="","",INDEX(ref_indicateurs!$C:$C,MATCH($A36,ref_indicateurs!$A:$A,0))&amp;"")</f>
        <v/>
      </c>
      <c r="D36" s="12">
        <f>IF($A36="","",INDEX(ref_indicateurs!$E:$E,MATCH($A36,ref_indicateurs!$A:$A,0))&amp;"")</f>
        <v/>
      </c>
      <c r="E36" s="12">
        <f>IF($A36="","",INDEX(ref_indicateurs!$M:$M,MATCH($A36,ref_indicateurs!$A:$A,0))&amp;"")</f>
        <v/>
      </c>
      <c r="F36" s="12">
        <f>IF($A36="","",IF(INDEX(ref_indicateurs!$O:$O,MATCH($A36,ref_indicateurs!$A:$A,0))="","",INDEX(ref_indicateurs!$O:$O,MATCH($A36,ref_indicateurs!$A:$A,0))))</f>
        <v/>
      </c>
      <c r="G36" s="13">
        <f>IF($A36="","",SUMIFS(saisie_hebdo!$L:$L,saisie_hebdo!$I:$I,$A36))</f>
        <v/>
      </c>
      <c r="H36" s="13">
        <f>IF($A36="","",SUMIFS(saisie_hebdo!$M:$M,saisie_hebdo!$I:$I,$A36))</f>
        <v/>
      </c>
      <c r="I36" s="14">
        <f>IF(OR($A36="",L36=0),"",IF(D36="Pourcentage",IF(H36&gt;0,G36/H36*100,""),G36))</f>
        <v/>
      </c>
      <c r="J36" s="15">
        <f>IF(OR(I36="",F36="",F36=0),"",I36/F36)</f>
        <v/>
      </c>
      <c r="K36" s="12">
        <f>IF(OR($A36="",L36=0),"",IF(_xlfn.MAXIFS(saisie_hebdo!$C:$C,saisie_hebdo!$I:$I,$A36)=0,"",_xlfn.MAXIFS(saisie_hebdo!$C:$C,saisie_hebdo!$I:$I,$A36)))</f>
        <v/>
      </c>
      <c r="L36" s="12">
        <f>IF($A36="","",COUNTIFS(saisie_hebdo!$I:$I,$A36))</f>
        <v/>
      </c>
      <c r="M36" s="12">
        <f>IF($A36="","",IF(L36=0,"Non rapporté",IF(F36="","Suivi sans cible",IF(D36="Pourcentage",IF(I36&gt;=F36,"Cible atteinte","Sous la cible"),IF(J36&gt;=1,"Cible atteinte","En cours")))))</f>
        <v/>
      </c>
    </row>
    <row r="37">
      <c r="A37" s="12">
        <f>IFERROR(INDEX(ref_indicateurs!$A:$A,34)&amp;"","")</f>
        <v/>
      </c>
      <c r="B37" s="12">
        <f>IF($A37="","",INDEX(ref_indicateurs!$B:$B,MATCH($A37,ref_indicateurs!$A:$A,0))&amp;"")</f>
        <v/>
      </c>
      <c r="C37" s="12">
        <f>IF($A37="","",INDEX(ref_indicateurs!$C:$C,MATCH($A37,ref_indicateurs!$A:$A,0))&amp;"")</f>
        <v/>
      </c>
      <c r="D37" s="12">
        <f>IF($A37="","",INDEX(ref_indicateurs!$E:$E,MATCH($A37,ref_indicateurs!$A:$A,0))&amp;"")</f>
        <v/>
      </c>
      <c r="E37" s="12">
        <f>IF($A37="","",INDEX(ref_indicateurs!$M:$M,MATCH($A37,ref_indicateurs!$A:$A,0))&amp;"")</f>
        <v/>
      </c>
      <c r="F37" s="12">
        <f>IF($A37="","",IF(INDEX(ref_indicateurs!$O:$O,MATCH($A37,ref_indicateurs!$A:$A,0))="","",INDEX(ref_indicateurs!$O:$O,MATCH($A37,ref_indicateurs!$A:$A,0))))</f>
        <v/>
      </c>
      <c r="G37" s="13">
        <f>IF($A37="","",SUMIFS(saisie_hebdo!$L:$L,saisie_hebdo!$I:$I,$A37))</f>
        <v/>
      </c>
      <c r="H37" s="13">
        <f>IF($A37="","",SUMIFS(saisie_hebdo!$M:$M,saisie_hebdo!$I:$I,$A37))</f>
        <v/>
      </c>
      <c r="I37" s="14">
        <f>IF(OR($A37="",L37=0),"",IF(D37="Pourcentage",IF(H37&gt;0,G37/H37*100,""),G37))</f>
        <v/>
      </c>
      <c r="J37" s="15">
        <f>IF(OR(I37="",F37="",F37=0),"",I37/F37)</f>
        <v/>
      </c>
      <c r="K37" s="12">
        <f>IF(OR($A37="",L37=0),"",IF(_xlfn.MAXIFS(saisie_hebdo!$C:$C,saisie_hebdo!$I:$I,$A37)=0,"",_xlfn.MAXIFS(saisie_hebdo!$C:$C,saisie_hebdo!$I:$I,$A37)))</f>
        <v/>
      </c>
      <c r="L37" s="12">
        <f>IF($A37="","",COUNTIFS(saisie_hebdo!$I:$I,$A37))</f>
        <v/>
      </c>
      <c r="M37" s="12">
        <f>IF($A37="","",IF(L37=0,"Non rapporté",IF(F37="","Suivi sans cible",IF(D37="Pourcentage",IF(I37&gt;=F37,"Cible atteinte","Sous la cible"),IF(J37&gt;=1,"Cible atteinte","En cours")))))</f>
        <v/>
      </c>
    </row>
    <row r="38">
      <c r="A38" s="12">
        <f>IFERROR(INDEX(ref_indicateurs!$A:$A,35)&amp;"","")</f>
        <v/>
      </c>
      <c r="B38" s="12">
        <f>IF($A38="","",INDEX(ref_indicateurs!$B:$B,MATCH($A38,ref_indicateurs!$A:$A,0))&amp;"")</f>
        <v/>
      </c>
      <c r="C38" s="12">
        <f>IF($A38="","",INDEX(ref_indicateurs!$C:$C,MATCH($A38,ref_indicateurs!$A:$A,0))&amp;"")</f>
        <v/>
      </c>
      <c r="D38" s="12">
        <f>IF($A38="","",INDEX(ref_indicateurs!$E:$E,MATCH($A38,ref_indicateurs!$A:$A,0))&amp;"")</f>
        <v/>
      </c>
      <c r="E38" s="12">
        <f>IF($A38="","",INDEX(ref_indicateurs!$M:$M,MATCH($A38,ref_indicateurs!$A:$A,0))&amp;"")</f>
        <v/>
      </c>
      <c r="F38" s="12">
        <f>IF($A38="","",IF(INDEX(ref_indicateurs!$O:$O,MATCH($A38,ref_indicateurs!$A:$A,0))="","",INDEX(ref_indicateurs!$O:$O,MATCH($A38,ref_indicateurs!$A:$A,0))))</f>
        <v/>
      </c>
      <c r="G38" s="13">
        <f>IF($A38="","",SUMIFS(saisie_hebdo!$L:$L,saisie_hebdo!$I:$I,$A38))</f>
        <v/>
      </c>
      <c r="H38" s="13">
        <f>IF($A38="","",SUMIFS(saisie_hebdo!$M:$M,saisie_hebdo!$I:$I,$A38))</f>
        <v/>
      </c>
      <c r="I38" s="14">
        <f>IF(OR($A38="",L38=0),"",IF(D38="Pourcentage",IF(H38&gt;0,G38/H38*100,""),G38))</f>
        <v/>
      </c>
      <c r="J38" s="15">
        <f>IF(OR(I38="",F38="",F38=0),"",I38/F38)</f>
        <v/>
      </c>
      <c r="K38" s="12">
        <f>IF(OR($A38="",L38=0),"",IF(_xlfn.MAXIFS(saisie_hebdo!$C:$C,saisie_hebdo!$I:$I,$A38)=0,"",_xlfn.MAXIFS(saisie_hebdo!$C:$C,saisie_hebdo!$I:$I,$A38)))</f>
        <v/>
      </c>
      <c r="L38" s="12">
        <f>IF($A38="","",COUNTIFS(saisie_hebdo!$I:$I,$A38))</f>
        <v/>
      </c>
      <c r="M38" s="12">
        <f>IF($A38="","",IF(L38=0,"Non rapporté",IF(F38="","Suivi sans cible",IF(D38="Pourcentage",IF(I38&gt;=F38,"Cible atteinte","Sous la cible"),IF(J38&gt;=1,"Cible atteinte","En cours")))))</f>
        <v/>
      </c>
    </row>
    <row r="39">
      <c r="A39" s="12">
        <f>IFERROR(INDEX(ref_indicateurs!$A:$A,36)&amp;"","")</f>
        <v/>
      </c>
      <c r="B39" s="12">
        <f>IF($A39="","",INDEX(ref_indicateurs!$B:$B,MATCH($A39,ref_indicateurs!$A:$A,0))&amp;"")</f>
        <v/>
      </c>
      <c r="C39" s="12">
        <f>IF($A39="","",INDEX(ref_indicateurs!$C:$C,MATCH($A39,ref_indicateurs!$A:$A,0))&amp;"")</f>
        <v/>
      </c>
      <c r="D39" s="12">
        <f>IF($A39="","",INDEX(ref_indicateurs!$E:$E,MATCH($A39,ref_indicateurs!$A:$A,0))&amp;"")</f>
        <v/>
      </c>
      <c r="E39" s="12">
        <f>IF($A39="","",INDEX(ref_indicateurs!$M:$M,MATCH($A39,ref_indicateurs!$A:$A,0))&amp;"")</f>
        <v/>
      </c>
      <c r="F39" s="12">
        <f>IF($A39="","",IF(INDEX(ref_indicateurs!$O:$O,MATCH($A39,ref_indicateurs!$A:$A,0))="","",INDEX(ref_indicateurs!$O:$O,MATCH($A39,ref_indicateurs!$A:$A,0))))</f>
        <v/>
      </c>
      <c r="G39" s="13">
        <f>IF($A39="","",SUMIFS(saisie_hebdo!$L:$L,saisie_hebdo!$I:$I,$A39))</f>
        <v/>
      </c>
      <c r="H39" s="13">
        <f>IF($A39="","",SUMIFS(saisie_hebdo!$M:$M,saisie_hebdo!$I:$I,$A39))</f>
        <v/>
      </c>
      <c r="I39" s="14">
        <f>IF(OR($A39="",L39=0),"",IF(D39="Pourcentage",IF(H39&gt;0,G39/H39*100,""),G39))</f>
        <v/>
      </c>
      <c r="J39" s="15">
        <f>IF(OR(I39="",F39="",F39=0),"",I39/F39)</f>
        <v/>
      </c>
      <c r="K39" s="12">
        <f>IF(OR($A39="",L39=0),"",IF(_xlfn.MAXIFS(saisie_hebdo!$C:$C,saisie_hebdo!$I:$I,$A39)=0,"",_xlfn.MAXIFS(saisie_hebdo!$C:$C,saisie_hebdo!$I:$I,$A39)))</f>
        <v/>
      </c>
      <c r="L39" s="12">
        <f>IF($A39="","",COUNTIFS(saisie_hebdo!$I:$I,$A39))</f>
        <v/>
      </c>
      <c r="M39" s="12">
        <f>IF($A39="","",IF(L39=0,"Non rapporté",IF(F39="","Suivi sans cible",IF(D39="Pourcentage",IF(I39&gt;=F39,"Cible atteinte","Sous la cible"),IF(J39&gt;=1,"Cible atteinte","En cours")))))</f>
        <v/>
      </c>
    </row>
    <row r="40">
      <c r="A40" s="12">
        <f>IFERROR(INDEX(ref_indicateurs!$A:$A,37)&amp;"","")</f>
        <v/>
      </c>
      <c r="B40" s="12">
        <f>IF($A40="","",INDEX(ref_indicateurs!$B:$B,MATCH($A40,ref_indicateurs!$A:$A,0))&amp;"")</f>
        <v/>
      </c>
      <c r="C40" s="12">
        <f>IF($A40="","",INDEX(ref_indicateurs!$C:$C,MATCH($A40,ref_indicateurs!$A:$A,0))&amp;"")</f>
        <v/>
      </c>
      <c r="D40" s="12">
        <f>IF($A40="","",INDEX(ref_indicateurs!$E:$E,MATCH($A40,ref_indicateurs!$A:$A,0))&amp;"")</f>
        <v/>
      </c>
      <c r="E40" s="12">
        <f>IF($A40="","",INDEX(ref_indicateurs!$M:$M,MATCH($A40,ref_indicateurs!$A:$A,0))&amp;"")</f>
        <v/>
      </c>
      <c r="F40" s="12">
        <f>IF($A40="","",IF(INDEX(ref_indicateurs!$O:$O,MATCH($A40,ref_indicateurs!$A:$A,0))="","",INDEX(ref_indicateurs!$O:$O,MATCH($A40,ref_indicateurs!$A:$A,0))))</f>
        <v/>
      </c>
      <c r="G40" s="13">
        <f>IF($A40="","",SUMIFS(saisie_hebdo!$L:$L,saisie_hebdo!$I:$I,$A40))</f>
        <v/>
      </c>
      <c r="H40" s="13">
        <f>IF($A40="","",SUMIFS(saisie_hebdo!$M:$M,saisie_hebdo!$I:$I,$A40))</f>
        <v/>
      </c>
      <c r="I40" s="14">
        <f>IF(OR($A40="",L40=0),"",IF(D40="Pourcentage",IF(H40&gt;0,G40/H40*100,""),G40))</f>
        <v/>
      </c>
      <c r="J40" s="15">
        <f>IF(OR(I40="",F40="",F40=0),"",I40/F40)</f>
        <v/>
      </c>
      <c r="K40" s="12">
        <f>IF(OR($A40="",L40=0),"",IF(_xlfn.MAXIFS(saisie_hebdo!$C:$C,saisie_hebdo!$I:$I,$A40)=0,"",_xlfn.MAXIFS(saisie_hebdo!$C:$C,saisie_hebdo!$I:$I,$A40)))</f>
        <v/>
      </c>
      <c r="L40" s="12">
        <f>IF($A40="","",COUNTIFS(saisie_hebdo!$I:$I,$A40))</f>
        <v/>
      </c>
      <c r="M40" s="12">
        <f>IF($A40="","",IF(L40=0,"Non rapporté",IF(F40="","Suivi sans cible",IF(D40="Pourcentage",IF(I40&gt;=F40,"Cible atteinte","Sous la cible"),IF(J40&gt;=1,"Cible atteinte","En cours")))))</f>
        <v/>
      </c>
    </row>
    <row r="41">
      <c r="A41" s="12">
        <f>IFERROR(INDEX(ref_indicateurs!$A:$A,38)&amp;"","")</f>
        <v/>
      </c>
      <c r="B41" s="12">
        <f>IF($A41="","",INDEX(ref_indicateurs!$B:$B,MATCH($A41,ref_indicateurs!$A:$A,0))&amp;"")</f>
        <v/>
      </c>
      <c r="C41" s="12">
        <f>IF($A41="","",INDEX(ref_indicateurs!$C:$C,MATCH($A41,ref_indicateurs!$A:$A,0))&amp;"")</f>
        <v/>
      </c>
      <c r="D41" s="12">
        <f>IF($A41="","",INDEX(ref_indicateurs!$E:$E,MATCH($A41,ref_indicateurs!$A:$A,0))&amp;"")</f>
        <v/>
      </c>
      <c r="E41" s="12">
        <f>IF($A41="","",INDEX(ref_indicateurs!$M:$M,MATCH($A41,ref_indicateurs!$A:$A,0))&amp;"")</f>
        <v/>
      </c>
      <c r="F41" s="12">
        <f>IF($A41="","",IF(INDEX(ref_indicateurs!$O:$O,MATCH($A41,ref_indicateurs!$A:$A,0))="","",INDEX(ref_indicateurs!$O:$O,MATCH($A41,ref_indicateurs!$A:$A,0))))</f>
        <v/>
      </c>
      <c r="G41" s="13">
        <f>IF($A41="","",SUMIFS(saisie_hebdo!$L:$L,saisie_hebdo!$I:$I,$A41))</f>
        <v/>
      </c>
      <c r="H41" s="13">
        <f>IF($A41="","",SUMIFS(saisie_hebdo!$M:$M,saisie_hebdo!$I:$I,$A41))</f>
        <v/>
      </c>
      <c r="I41" s="14">
        <f>IF(OR($A41="",L41=0),"",IF(D41="Pourcentage",IF(H41&gt;0,G41/H41*100,""),G41))</f>
        <v/>
      </c>
      <c r="J41" s="15">
        <f>IF(OR(I41="",F41="",F41=0),"",I41/F41)</f>
        <v/>
      </c>
      <c r="K41" s="12">
        <f>IF(OR($A41="",L41=0),"",IF(_xlfn.MAXIFS(saisie_hebdo!$C:$C,saisie_hebdo!$I:$I,$A41)=0,"",_xlfn.MAXIFS(saisie_hebdo!$C:$C,saisie_hebdo!$I:$I,$A41)))</f>
        <v/>
      </c>
      <c r="L41" s="12">
        <f>IF($A41="","",COUNTIFS(saisie_hebdo!$I:$I,$A41))</f>
        <v/>
      </c>
      <c r="M41" s="12">
        <f>IF($A41="","",IF(L41=0,"Non rapporté",IF(F41="","Suivi sans cible",IF(D41="Pourcentage",IF(I41&gt;=F41,"Cible atteinte","Sous la cible"),IF(J41&gt;=1,"Cible atteinte","En cours")))))</f>
        <v/>
      </c>
    </row>
    <row r="42">
      <c r="A42" s="12">
        <f>IFERROR(INDEX(ref_indicateurs!$A:$A,39)&amp;"","")</f>
        <v/>
      </c>
      <c r="B42" s="12">
        <f>IF($A42="","",INDEX(ref_indicateurs!$B:$B,MATCH($A42,ref_indicateurs!$A:$A,0))&amp;"")</f>
        <v/>
      </c>
      <c r="C42" s="12">
        <f>IF($A42="","",INDEX(ref_indicateurs!$C:$C,MATCH($A42,ref_indicateurs!$A:$A,0))&amp;"")</f>
        <v/>
      </c>
      <c r="D42" s="12">
        <f>IF($A42="","",INDEX(ref_indicateurs!$E:$E,MATCH($A42,ref_indicateurs!$A:$A,0))&amp;"")</f>
        <v/>
      </c>
      <c r="E42" s="12">
        <f>IF($A42="","",INDEX(ref_indicateurs!$M:$M,MATCH($A42,ref_indicateurs!$A:$A,0))&amp;"")</f>
        <v/>
      </c>
      <c r="F42" s="12">
        <f>IF($A42="","",IF(INDEX(ref_indicateurs!$O:$O,MATCH($A42,ref_indicateurs!$A:$A,0))="","",INDEX(ref_indicateurs!$O:$O,MATCH($A42,ref_indicateurs!$A:$A,0))))</f>
        <v/>
      </c>
      <c r="G42" s="13">
        <f>IF($A42="","",SUMIFS(saisie_hebdo!$L:$L,saisie_hebdo!$I:$I,$A42))</f>
        <v/>
      </c>
      <c r="H42" s="13">
        <f>IF($A42="","",SUMIFS(saisie_hebdo!$M:$M,saisie_hebdo!$I:$I,$A42))</f>
        <v/>
      </c>
      <c r="I42" s="14">
        <f>IF(OR($A42="",L42=0),"",IF(D42="Pourcentage",IF(H42&gt;0,G42/H42*100,""),G42))</f>
        <v/>
      </c>
      <c r="J42" s="15">
        <f>IF(OR(I42="",F42="",F42=0),"",I42/F42)</f>
        <v/>
      </c>
      <c r="K42" s="12">
        <f>IF(OR($A42="",L42=0),"",IF(_xlfn.MAXIFS(saisie_hebdo!$C:$C,saisie_hebdo!$I:$I,$A42)=0,"",_xlfn.MAXIFS(saisie_hebdo!$C:$C,saisie_hebdo!$I:$I,$A42)))</f>
        <v/>
      </c>
      <c r="L42" s="12">
        <f>IF($A42="","",COUNTIFS(saisie_hebdo!$I:$I,$A42))</f>
        <v/>
      </c>
      <c r="M42" s="12">
        <f>IF($A42="","",IF(L42=0,"Non rapporté",IF(F42="","Suivi sans cible",IF(D42="Pourcentage",IF(I42&gt;=F42,"Cible atteinte","Sous la cible"),IF(J42&gt;=1,"Cible atteinte","En cours")))))</f>
        <v/>
      </c>
    </row>
    <row r="43">
      <c r="A43" s="12">
        <f>IFERROR(INDEX(ref_indicateurs!$A:$A,40)&amp;"","")</f>
        <v/>
      </c>
      <c r="B43" s="12">
        <f>IF($A43="","",INDEX(ref_indicateurs!$B:$B,MATCH($A43,ref_indicateurs!$A:$A,0))&amp;"")</f>
        <v/>
      </c>
      <c r="C43" s="12">
        <f>IF($A43="","",INDEX(ref_indicateurs!$C:$C,MATCH($A43,ref_indicateurs!$A:$A,0))&amp;"")</f>
        <v/>
      </c>
      <c r="D43" s="12">
        <f>IF($A43="","",INDEX(ref_indicateurs!$E:$E,MATCH($A43,ref_indicateurs!$A:$A,0))&amp;"")</f>
        <v/>
      </c>
      <c r="E43" s="12">
        <f>IF($A43="","",INDEX(ref_indicateurs!$M:$M,MATCH($A43,ref_indicateurs!$A:$A,0))&amp;"")</f>
        <v/>
      </c>
      <c r="F43" s="12">
        <f>IF($A43="","",IF(INDEX(ref_indicateurs!$O:$O,MATCH($A43,ref_indicateurs!$A:$A,0))="","",INDEX(ref_indicateurs!$O:$O,MATCH($A43,ref_indicateurs!$A:$A,0))))</f>
        <v/>
      </c>
      <c r="G43" s="13">
        <f>IF($A43="","",SUMIFS(saisie_hebdo!$L:$L,saisie_hebdo!$I:$I,$A43))</f>
        <v/>
      </c>
      <c r="H43" s="13">
        <f>IF($A43="","",SUMIFS(saisie_hebdo!$M:$M,saisie_hebdo!$I:$I,$A43))</f>
        <v/>
      </c>
      <c r="I43" s="14">
        <f>IF(OR($A43="",L43=0),"",IF(D43="Pourcentage",IF(H43&gt;0,G43/H43*100,""),G43))</f>
        <v/>
      </c>
      <c r="J43" s="15">
        <f>IF(OR(I43="",F43="",F43=0),"",I43/F43)</f>
        <v/>
      </c>
      <c r="K43" s="12">
        <f>IF(OR($A43="",L43=0),"",IF(_xlfn.MAXIFS(saisie_hebdo!$C:$C,saisie_hebdo!$I:$I,$A43)=0,"",_xlfn.MAXIFS(saisie_hebdo!$C:$C,saisie_hebdo!$I:$I,$A43)))</f>
        <v/>
      </c>
      <c r="L43" s="12">
        <f>IF($A43="","",COUNTIFS(saisie_hebdo!$I:$I,$A43))</f>
        <v/>
      </c>
      <c r="M43" s="12">
        <f>IF($A43="","",IF(L43=0,"Non rapporté",IF(F43="","Suivi sans cible",IF(D43="Pourcentage",IF(I43&gt;=F43,"Cible atteinte","Sous la cible"),IF(J43&gt;=1,"Cible atteinte","En cours")))))</f>
        <v/>
      </c>
    </row>
    <row r="44">
      <c r="A44" s="12">
        <f>IFERROR(INDEX(ref_indicateurs!$A:$A,41)&amp;"","")</f>
        <v/>
      </c>
      <c r="B44" s="12">
        <f>IF($A44="","",INDEX(ref_indicateurs!$B:$B,MATCH($A44,ref_indicateurs!$A:$A,0))&amp;"")</f>
        <v/>
      </c>
      <c r="C44" s="12">
        <f>IF($A44="","",INDEX(ref_indicateurs!$C:$C,MATCH($A44,ref_indicateurs!$A:$A,0))&amp;"")</f>
        <v/>
      </c>
      <c r="D44" s="12">
        <f>IF($A44="","",INDEX(ref_indicateurs!$E:$E,MATCH($A44,ref_indicateurs!$A:$A,0))&amp;"")</f>
        <v/>
      </c>
      <c r="E44" s="12">
        <f>IF($A44="","",INDEX(ref_indicateurs!$M:$M,MATCH($A44,ref_indicateurs!$A:$A,0))&amp;"")</f>
        <v/>
      </c>
      <c r="F44" s="12">
        <f>IF($A44="","",IF(INDEX(ref_indicateurs!$O:$O,MATCH($A44,ref_indicateurs!$A:$A,0))="","",INDEX(ref_indicateurs!$O:$O,MATCH($A44,ref_indicateurs!$A:$A,0))))</f>
        <v/>
      </c>
      <c r="G44" s="13">
        <f>IF($A44="","",SUMIFS(saisie_hebdo!$L:$L,saisie_hebdo!$I:$I,$A44))</f>
        <v/>
      </c>
      <c r="H44" s="13">
        <f>IF($A44="","",SUMIFS(saisie_hebdo!$M:$M,saisie_hebdo!$I:$I,$A44))</f>
        <v/>
      </c>
      <c r="I44" s="14">
        <f>IF(OR($A44="",L44=0),"",IF(D44="Pourcentage",IF(H44&gt;0,G44/H44*100,""),G44))</f>
        <v/>
      </c>
      <c r="J44" s="15">
        <f>IF(OR(I44="",F44="",F44=0),"",I44/F44)</f>
        <v/>
      </c>
      <c r="K44" s="12">
        <f>IF(OR($A44="",L44=0),"",IF(_xlfn.MAXIFS(saisie_hebdo!$C:$C,saisie_hebdo!$I:$I,$A44)=0,"",_xlfn.MAXIFS(saisie_hebdo!$C:$C,saisie_hebdo!$I:$I,$A44)))</f>
        <v/>
      </c>
      <c r="L44" s="12">
        <f>IF($A44="","",COUNTIFS(saisie_hebdo!$I:$I,$A44))</f>
        <v/>
      </c>
      <c r="M44" s="12">
        <f>IF($A44="","",IF(L44=0,"Non rapporté",IF(F44="","Suivi sans cible",IF(D44="Pourcentage",IF(I44&gt;=F44,"Cible atteinte","Sous la cible"),IF(J44&gt;=1,"Cible atteinte","En cours")))))</f>
        <v/>
      </c>
    </row>
    <row r="45">
      <c r="A45" s="12">
        <f>IFERROR(INDEX(ref_indicateurs!$A:$A,42)&amp;"","")</f>
        <v/>
      </c>
      <c r="B45" s="12">
        <f>IF($A45="","",INDEX(ref_indicateurs!$B:$B,MATCH($A45,ref_indicateurs!$A:$A,0))&amp;"")</f>
        <v/>
      </c>
      <c r="C45" s="12">
        <f>IF($A45="","",INDEX(ref_indicateurs!$C:$C,MATCH($A45,ref_indicateurs!$A:$A,0))&amp;"")</f>
        <v/>
      </c>
      <c r="D45" s="12">
        <f>IF($A45="","",INDEX(ref_indicateurs!$E:$E,MATCH($A45,ref_indicateurs!$A:$A,0))&amp;"")</f>
        <v/>
      </c>
      <c r="E45" s="12">
        <f>IF($A45="","",INDEX(ref_indicateurs!$M:$M,MATCH($A45,ref_indicateurs!$A:$A,0))&amp;"")</f>
        <v/>
      </c>
      <c r="F45" s="12">
        <f>IF($A45="","",IF(INDEX(ref_indicateurs!$O:$O,MATCH($A45,ref_indicateurs!$A:$A,0))="","",INDEX(ref_indicateurs!$O:$O,MATCH($A45,ref_indicateurs!$A:$A,0))))</f>
        <v/>
      </c>
      <c r="G45" s="13">
        <f>IF($A45="","",SUMIFS(saisie_hebdo!$L:$L,saisie_hebdo!$I:$I,$A45))</f>
        <v/>
      </c>
      <c r="H45" s="13">
        <f>IF($A45="","",SUMIFS(saisie_hebdo!$M:$M,saisie_hebdo!$I:$I,$A45))</f>
        <v/>
      </c>
      <c r="I45" s="14">
        <f>IF(OR($A45="",L45=0),"",IF(D45="Pourcentage",IF(H45&gt;0,G45/H45*100,""),G45))</f>
        <v/>
      </c>
      <c r="J45" s="15">
        <f>IF(OR(I45="",F45="",F45=0),"",I45/F45)</f>
        <v/>
      </c>
      <c r="K45" s="12">
        <f>IF(OR($A45="",L45=0),"",IF(_xlfn.MAXIFS(saisie_hebdo!$C:$C,saisie_hebdo!$I:$I,$A45)=0,"",_xlfn.MAXIFS(saisie_hebdo!$C:$C,saisie_hebdo!$I:$I,$A45)))</f>
        <v/>
      </c>
      <c r="L45" s="12">
        <f>IF($A45="","",COUNTIFS(saisie_hebdo!$I:$I,$A45))</f>
        <v/>
      </c>
      <c r="M45" s="12">
        <f>IF($A45="","",IF(L45=0,"Non rapporté",IF(F45="","Suivi sans cible",IF(D45="Pourcentage",IF(I45&gt;=F45,"Cible atteinte","Sous la cible"),IF(J45&gt;=1,"Cible atteinte","En cours")))))</f>
        <v/>
      </c>
    </row>
    <row r="46">
      <c r="A46" s="12">
        <f>IFERROR(INDEX(ref_indicateurs!$A:$A,43)&amp;"","")</f>
        <v/>
      </c>
      <c r="B46" s="12">
        <f>IF($A46="","",INDEX(ref_indicateurs!$B:$B,MATCH($A46,ref_indicateurs!$A:$A,0))&amp;"")</f>
        <v/>
      </c>
      <c r="C46" s="12">
        <f>IF($A46="","",INDEX(ref_indicateurs!$C:$C,MATCH($A46,ref_indicateurs!$A:$A,0))&amp;"")</f>
        <v/>
      </c>
      <c r="D46" s="12">
        <f>IF($A46="","",INDEX(ref_indicateurs!$E:$E,MATCH($A46,ref_indicateurs!$A:$A,0))&amp;"")</f>
        <v/>
      </c>
      <c r="E46" s="12">
        <f>IF($A46="","",INDEX(ref_indicateurs!$M:$M,MATCH($A46,ref_indicateurs!$A:$A,0))&amp;"")</f>
        <v/>
      </c>
      <c r="F46" s="12">
        <f>IF($A46="","",IF(INDEX(ref_indicateurs!$O:$O,MATCH($A46,ref_indicateurs!$A:$A,0))="","",INDEX(ref_indicateurs!$O:$O,MATCH($A46,ref_indicateurs!$A:$A,0))))</f>
        <v/>
      </c>
      <c r="G46" s="13">
        <f>IF($A46="","",SUMIFS(saisie_hebdo!$L:$L,saisie_hebdo!$I:$I,$A46))</f>
        <v/>
      </c>
      <c r="H46" s="13">
        <f>IF($A46="","",SUMIFS(saisie_hebdo!$M:$M,saisie_hebdo!$I:$I,$A46))</f>
        <v/>
      </c>
      <c r="I46" s="14">
        <f>IF(OR($A46="",L46=0),"",IF(D46="Pourcentage",IF(H46&gt;0,G46/H46*100,""),G46))</f>
        <v/>
      </c>
      <c r="J46" s="15">
        <f>IF(OR(I46="",F46="",F46=0),"",I46/F46)</f>
        <v/>
      </c>
      <c r="K46" s="12">
        <f>IF(OR($A46="",L46=0),"",IF(_xlfn.MAXIFS(saisie_hebdo!$C:$C,saisie_hebdo!$I:$I,$A46)=0,"",_xlfn.MAXIFS(saisie_hebdo!$C:$C,saisie_hebdo!$I:$I,$A46)))</f>
        <v/>
      </c>
      <c r="L46" s="12">
        <f>IF($A46="","",COUNTIFS(saisie_hebdo!$I:$I,$A46))</f>
        <v/>
      </c>
      <c r="M46" s="12">
        <f>IF($A46="","",IF(L46=0,"Non rapporté",IF(F46="","Suivi sans cible",IF(D46="Pourcentage",IF(I46&gt;=F46,"Cible atteinte","Sous la cible"),IF(J46&gt;=1,"Cible atteinte","En cours")))))</f>
        <v/>
      </c>
    </row>
    <row r="47">
      <c r="A47" s="12">
        <f>IFERROR(INDEX(ref_indicateurs!$A:$A,44)&amp;"","")</f>
        <v/>
      </c>
      <c r="B47" s="12">
        <f>IF($A47="","",INDEX(ref_indicateurs!$B:$B,MATCH($A47,ref_indicateurs!$A:$A,0))&amp;"")</f>
        <v/>
      </c>
      <c r="C47" s="12">
        <f>IF($A47="","",INDEX(ref_indicateurs!$C:$C,MATCH($A47,ref_indicateurs!$A:$A,0))&amp;"")</f>
        <v/>
      </c>
      <c r="D47" s="12">
        <f>IF($A47="","",INDEX(ref_indicateurs!$E:$E,MATCH($A47,ref_indicateurs!$A:$A,0))&amp;"")</f>
        <v/>
      </c>
      <c r="E47" s="12">
        <f>IF($A47="","",INDEX(ref_indicateurs!$M:$M,MATCH($A47,ref_indicateurs!$A:$A,0))&amp;"")</f>
        <v/>
      </c>
      <c r="F47" s="12">
        <f>IF($A47="","",IF(INDEX(ref_indicateurs!$O:$O,MATCH($A47,ref_indicateurs!$A:$A,0))="","",INDEX(ref_indicateurs!$O:$O,MATCH($A47,ref_indicateurs!$A:$A,0))))</f>
        <v/>
      </c>
      <c r="G47" s="13">
        <f>IF($A47="","",SUMIFS(saisie_hebdo!$L:$L,saisie_hebdo!$I:$I,$A47))</f>
        <v/>
      </c>
      <c r="H47" s="13">
        <f>IF($A47="","",SUMIFS(saisie_hebdo!$M:$M,saisie_hebdo!$I:$I,$A47))</f>
        <v/>
      </c>
      <c r="I47" s="14">
        <f>IF(OR($A47="",L47=0),"",IF(D47="Pourcentage",IF(H47&gt;0,G47/H47*100,""),G47))</f>
        <v/>
      </c>
      <c r="J47" s="15">
        <f>IF(OR(I47="",F47="",F47=0),"",I47/F47)</f>
        <v/>
      </c>
      <c r="K47" s="12">
        <f>IF(OR($A47="",L47=0),"",IF(_xlfn.MAXIFS(saisie_hebdo!$C:$C,saisie_hebdo!$I:$I,$A47)=0,"",_xlfn.MAXIFS(saisie_hebdo!$C:$C,saisie_hebdo!$I:$I,$A47)))</f>
        <v/>
      </c>
      <c r="L47" s="12">
        <f>IF($A47="","",COUNTIFS(saisie_hebdo!$I:$I,$A47))</f>
        <v/>
      </c>
      <c r="M47" s="12">
        <f>IF($A47="","",IF(L47=0,"Non rapporté",IF(F47="","Suivi sans cible",IF(D47="Pourcentage",IF(I47&gt;=F47,"Cible atteinte","Sous la cible"),IF(J47&gt;=1,"Cible atteinte","En cours")))))</f>
        <v/>
      </c>
    </row>
    <row r="48">
      <c r="A48" s="12">
        <f>IFERROR(INDEX(ref_indicateurs!$A:$A,45)&amp;"","")</f>
        <v/>
      </c>
      <c r="B48" s="12">
        <f>IF($A48="","",INDEX(ref_indicateurs!$B:$B,MATCH($A48,ref_indicateurs!$A:$A,0))&amp;"")</f>
        <v/>
      </c>
      <c r="C48" s="12">
        <f>IF($A48="","",INDEX(ref_indicateurs!$C:$C,MATCH($A48,ref_indicateurs!$A:$A,0))&amp;"")</f>
        <v/>
      </c>
      <c r="D48" s="12">
        <f>IF($A48="","",INDEX(ref_indicateurs!$E:$E,MATCH($A48,ref_indicateurs!$A:$A,0))&amp;"")</f>
        <v/>
      </c>
      <c r="E48" s="12">
        <f>IF($A48="","",INDEX(ref_indicateurs!$M:$M,MATCH($A48,ref_indicateurs!$A:$A,0))&amp;"")</f>
        <v/>
      </c>
      <c r="F48" s="12">
        <f>IF($A48="","",IF(INDEX(ref_indicateurs!$O:$O,MATCH($A48,ref_indicateurs!$A:$A,0))="","",INDEX(ref_indicateurs!$O:$O,MATCH($A48,ref_indicateurs!$A:$A,0))))</f>
        <v/>
      </c>
      <c r="G48" s="13">
        <f>IF($A48="","",SUMIFS(saisie_hebdo!$L:$L,saisie_hebdo!$I:$I,$A48))</f>
        <v/>
      </c>
      <c r="H48" s="13">
        <f>IF($A48="","",SUMIFS(saisie_hebdo!$M:$M,saisie_hebdo!$I:$I,$A48))</f>
        <v/>
      </c>
      <c r="I48" s="14">
        <f>IF(OR($A48="",L48=0),"",IF(D48="Pourcentage",IF(H48&gt;0,G48/H48*100,""),G48))</f>
        <v/>
      </c>
      <c r="J48" s="15">
        <f>IF(OR(I48="",F48="",F48=0),"",I48/F48)</f>
        <v/>
      </c>
      <c r="K48" s="12">
        <f>IF(OR($A48="",L48=0),"",IF(_xlfn.MAXIFS(saisie_hebdo!$C:$C,saisie_hebdo!$I:$I,$A48)=0,"",_xlfn.MAXIFS(saisie_hebdo!$C:$C,saisie_hebdo!$I:$I,$A48)))</f>
        <v/>
      </c>
      <c r="L48" s="12">
        <f>IF($A48="","",COUNTIFS(saisie_hebdo!$I:$I,$A48))</f>
        <v/>
      </c>
      <c r="M48" s="12">
        <f>IF($A48="","",IF(L48=0,"Non rapporté",IF(F48="","Suivi sans cible",IF(D48="Pourcentage",IF(I48&gt;=F48,"Cible atteinte","Sous la cible"),IF(J48&gt;=1,"Cible atteinte","En cours")))))</f>
        <v/>
      </c>
    </row>
    <row r="49">
      <c r="A49" s="12">
        <f>IFERROR(INDEX(ref_indicateurs!$A:$A,46)&amp;"","")</f>
        <v/>
      </c>
      <c r="B49" s="12">
        <f>IF($A49="","",INDEX(ref_indicateurs!$B:$B,MATCH($A49,ref_indicateurs!$A:$A,0))&amp;"")</f>
        <v/>
      </c>
      <c r="C49" s="12">
        <f>IF($A49="","",INDEX(ref_indicateurs!$C:$C,MATCH($A49,ref_indicateurs!$A:$A,0))&amp;"")</f>
        <v/>
      </c>
      <c r="D49" s="12">
        <f>IF($A49="","",INDEX(ref_indicateurs!$E:$E,MATCH($A49,ref_indicateurs!$A:$A,0))&amp;"")</f>
        <v/>
      </c>
      <c r="E49" s="12">
        <f>IF($A49="","",INDEX(ref_indicateurs!$M:$M,MATCH($A49,ref_indicateurs!$A:$A,0))&amp;"")</f>
        <v/>
      </c>
      <c r="F49" s="12">
        <f>IF($A49="","",IF(INDEX(ref_indicateurs!$O:$O,MATCH($A49,ref_indicateurs!$A:$A,0))="","",INDEX(ref_indicateurs!$O:$O,MATCH($A49,ref_indicateurs!$A:$A,0))))</f>
        <v/>
      </c>
      <c r="G49" s="13">
        <f>IF($A49="","",SUMIFS(saisie_hebdo!$L:$L,saisie_hebdo!$I:$I,$A49))</f>
        <v/>
      </c>
      <c r="H49" s="13">
        <f>IF($A49="","",SUMIFS(saisie_hebdo!$M:$M,saisie_hebdo!$I:$I,$A49))</f>
        <v/>
      </c>
      <c r="I49" s="14">
        <f>IF(OR($A49="",L49=0),"",IF(D49="Pourcentage",IF(H49&gt;0,G49/H49*100,""),G49))</f>
        <v/>
      </c>
      <c r="J49" s="15">
        <f>IF(OR(I49="",F49="",F49=0),"",I49/F49)</f>
        <v/>
      </c>
      <c r="K49" s="12">
        <f>IF(OR($A49="",L49=0),"",IF(_xlfn.MAXIFS(saisie_hebdo!$C:$C,saisie_hebdo!$I:$I,$A49)=0,"",_xlfn.MAXIFS(saisie_hebdo!$C:$C,saisie_hebdo!$I:$I,$A49)))</f>
        <v/>
      </c>
      <c r="L49" s="12">
        <f>IF($A49="","",COUNTIFS(saisie_hebdo!$I:$I,$A49))</f>
        <v/>
      </c>
      <c r="M49" s="12">
        <f>IF($A49="","",IF(L49=0,"Non rapporté",IF(F49="","Suivi sans cible",IF(D49="Pourcentage",IF(I49&gt;=F49,"Cible atteinte","Sous la cible"),IF(J49&gt;=1,"Cible atteinte","En cours")))))</f>
        <v/>
      </c>
    </row>
    <row r="50">
      <c r="A50" s="12">
        <f>IFERROR(INDEX(ref_indicateurs!$A:$A,47)&amp;"","")</f>
        <v/>
      </c>
      <c r="B50" s="12">
        <f>IF($A50="","",INDEX(ref_indicateurs!$B:$B,MATCH($A50,ref_indicateurs!$A:$A,0))&amp;"")</f>
        <v/>
      </c>
      <c r="C50" s="12">
        <f>IF($A50="","",INDEX(ref_indicateurs!$C:$C,MATCH($A50,ref_indicateurs!$A:$A,0))&amp;"")</f>
        <v/>
      </c>
      <c r="D50" s="12">
        <f>IF($A50="","",INDEX(ref_indicateurs!$E:$E,MATCH($A50,ref_indicateurs!$A:$A,0))&amp;"")</f>
        <v/>
      </c>
      <c r="E50" s="12">
        <f>IF($A50="","",INDEX(ref_indicateurs!$M:$M,MATCH($A50,ref_indicateurs!$A:$A,0))&amp;"")</f>
        <v/>
      </c>
      <c r="F50" s="12">
        <f>IF($A50="","",IF(INDEX(ref_indicateurs!$O:$O,MATCH($A50,ref_indicateurs!$A:$A,0))="","",INDEX(ref_indicateurs!$O:$O,MATCH($A50,ref_indicateurs!$A:$A,0))))</f>
        <v/>
      </c>
      <c r="G50" s="13">
        <f>IF($A50="","",SUMIFS(saisie_hebdo!$L:$L,saisie_hebdo!$I:$I,$A50))</f>
        <v/>
      </c>
      <c r="H50" s="13">
        <f>IF($A50="","",SUMIFS(saisie_hebdo!$M:$M,saisie_hebdo!$I:$I,$A50))</f>
        <v/>
      </c>
      <c r="I50" s="14">
        <f>IF(OR($A50="",L50=0),"",IF(D50="Pourcentage",IF(H50&gt;0,G50/H50*100,""),G50))</f>
        <v/>
      </c>
      <c r="J50" s="15">
        <f>IF(OR(I50="",F50="",F50=0),"",I50/F50)</f>
        <v/>
      </c>
      <c r="K50" s="12">
        <f>IF(OR($A50="",L50=0),"",IF(_xlfn.MAXIFS(saisie_hebdo!$C:$C,saisie_hebdo!$I:$I,$A50)=0,"",_xlfn.MAXIFS(saisie_hebdo!$C:$C,saisie_hebdo!$I:$I,$A50)))</f>
        <v/>
      </c>
      <c r="L50" s="12">
        <f>IF($A50="","",COUNTIFS(saisie_hebdo!$I:$I,$A50))</f>
        <v/>
      </c>
      <c r="M50" s="12">
        <f>IF($A50="","",IF(L50=0,"Non rapporté",IF(F50="","Suivi sans cible",IF(D50="Pourcentage",IF(I50&gt;=F50,"Cible atteinte","Sous la cible"),IF(J50&gt;=1,"Cible atteinte","En cours")))))</f>
        <v/>
      </c>
    </row>
    <row r="51">
      <c r="A51" s="12">
        <f>IFERROR(INDEX(ref_indicateurs!$A:$A,48)&amp;"","")</f>
        <v/>
      </c>
      <c r="B51" s="12">
        <f>IF($A51="","",INDEX(ref_indicateurs!$B:$B,MATCH($A51,ref_indicateurs!$A:$A,0))&amp;"")</f>
        <v/>
      </c>
      <c r="C51" s="12">
        <f>IF($A51="","",INDEX(ref_indicateurs!$C:$C,MATCH($A51,ref_indicateurs!$A:$A,0))&amp;"")</f>
        <v/>
      </c>
      <c r="D51" s="12">
        <f>IF($A51="","",INDEX(ref_indicateurs!$E:$E,MATCH($A51,ref_indicateurs!$A:$A,0))&amp;"")</f>
        <v/>
      </c>
      <c r="E51" s="12">
        <f>IF($A51="","",INDEX(ref_indicateurs!$M:$M,MATCH($A51,ref_indicateurs!$A:$A,0))&amp;"")</f>
        <v/>
      </c>
      <c r="F51" s="12">
        <f>IF($A51="","",IF(INDEX(ref_indicateurs!$O:$O,MATCH($A51,ref_indicateurs!$A:$A,0))="","",INDEX(ref_indicateurs!$O:$O,MATCH($A51,ref_indicateurs!$A:$A,0))))</f>
        <v/>
      </c>
      <c r="G51" s="13">
        <f>IF($A51="","",SUMIFS(saisie_hebdo!$L:$L,saisie_hebdo!$I:$I,$A51))</f>
        <v/>
      </c>
      <c r="H51" s="13">
        <f>IF($A51="","",SUMIFS(saisie_hebdo!$M:$M,saisie_hebdo!$I:$I,$A51))</f>
        <v/>
      </c>
      <c r="I51" s="14">
        <f>IF(OR($A51="",L51=0),"",IF(D51="Pourcentage",IF(H51&gt;0,G51/H51*100,""),G51))</f>
        <v/>
      </c>
      <c r="J51" s="15">
        <f>IF(OR(I51="",F51="",F51=0),"",I51/F51)</f>
        <v/>
      </c>
      <c r="K51" s="12">
        <f>IF(OR($A51="",L51=0),"",IF(_xlfn.MAXIFS(saisie_hebdo!$C:$C,saisie_hebdo!$I:$I,$A51)=0,"",_xlfn.MAXIFS(saisie_hebdo!$C:$C,saisie_hebdo!$I:$I,$A51)))</f>
        <v/>
      </c>
      <c r="L51" s="12">
        <f>IF($A51="","",COUNTIFS(saisie_hebdo!$I:$I,$A51))</f>
        <v/>
      </c>
      <c r="M51" s="12">
        <f>IF($A51="","",IF(L51=0,"Non rapporté",IF(F51="","Suivi sans cible",IF(D51="Pourcentage",IF(I51&gt;=F51,"Cible atteinte","Sous la cible"),IF(J51&gt;=1,"Cible atteinte","En cours")))))</f>
        <v/>
      </c>
    </row>
    <row r="52">
      <c r="A52" s="12">
        <f>IFERROR(INDEX(ref_indicateurs!$A:$A,49)&amp;"","")</f>
        <v/>
      </c>
      <c r="B52" s="12">
        <f>IF($A52="","",INDEX(ref_indicateurs!$B:$B,MATCH($A52,ref_indicateurs!$A:$A,0))&amp;"")</f>
        <v/>
      </c>
      <c r="C52" s="12">
        <f>IF($A52="","",INDEX(ref_indicateurs!$C:$C,MATCH($A52,ref_indicateurs!$A:$A,0))&amp;"")</f>
        <v/>
      </c>
      <c r="D52" s="12">
        <f>IF($A52="","",INDEX(ref_indicateurs!$E:$E,MATCH($A52,ref_indicateurs!$A:$A,0))&amp;"")</f>
        <v/>
      </c>
      <c r="E52" s="12">
        <f>IF($A52="","",INDEX(ref_indicateurs!$M:$M,MATCH($A52,ref_indicateurs!$A:$A,0))&amp;"")</f>
        <v/>
      </c>
      <c r="F52" s="12">
        <f>IF($A52="","",IF(INDEX(ref_indicateurs!$O:$O,MATCH($A52,ref_indicateurs!$A:$A,0))="","",INDEX(ref_indicateurs!$O:$O,MATCH($A52,ref_indicateurs!$A:$A,0))))</f>
        <v/>
      </c>
      <c r="G52" s="13">
        <f>IF($A52="","",SUMIFS(saisie_hebdo!$L:$L,saisie_hebdo!$I:$I,$A52))</f>
        <v/>
      </c>
      <c r="H52" s="13">
        <f>IF($A52="","",SUMIFS(saisie_hebdo!$M:$M,saisie_hebdo!$I:$I,$A52))</f>
        <v/>
      </c>
      <c r="I52" s="14">
        <f>IF(OR($A52="",L52=0),"",IF(D52="Pourcentage",IF(H52&gt;0,G52/H52*100,""),G52))</f>
        <v/>
      </c>
      <c r="J52" s="15">
        <f>IF(OR(I52="",F52="",F52=0),"",I52/F52)</f>
        <v/>
      </c>
      <c r="K52" s="12">
        <f>IF(OR($A52="",L52=0),"",IF(_xlfn.MAXIFS(saisie_hebdo!$C:$C,saisie_hebdo!$I:$I,$A52)=0,"",_xlfn.MAXIFS(saisie_hebdo!$C:$C,saisie_hebdo!$I:$I,$A52)))</f>
        <v/>
      </c>
      <c r="L52" s="12">
        <f>IF($A52="","",COUNTIFS(saisie_hebdo!$I:$I,$A52))</f>
        <v/>
      </c>
      <c r="M52" s="12">
        <f>IF($A52="","",IF(L52=0,"Non rapporté",IF(F52="","Suivi sans cible",IF(D52="Pourcentage",IF(I52&gt;=F52,"Cible atteinte","Sous la cible"),IF(J52&gt;=1,"Cible atteinte","En cours")))))</f>
        <v/>
      </c>
    </row>
    <row r="53">
      <c r="A53" s="12">
        <f>IFERROR(INDEX(ref_indicateurs!$A:$A,50)&amp;"","")</f>
        <v/>
      </c>
      <c r="B53" s="12">
        <f>IF($A53="","",INDEX(ref_indicateurs!$B:$B,MATCH($A53,ref_indicateurs!$A:$A,0))&amp;"")</f>
        <v/>
      </c>
      <c r="C53" s="12">
        <f>IF($A53="","",INDEX(ref_indicateurs!$C:$C,MATCH($A53,ref_indicateurs!$A:$A,0))&amp;"")</f>
        <v/>
      </c>
      <c r="D53" s="12">
        <f>IF($A53="","",INDEX(ref_indicateurs!$E:$E,MATCH($A53,ref_indicateurs!$A:$A,0))&amp;"")</f>
        <v/>
      </c>
      <c r="E53" s="12">
        <f>IF($A53="","",INDEX(ref_indicateurs!$M:$M,MATCH($A53,ref_indicateurs!$A:$A,0))&amp;"")</f>
        <v/>
      </c>
      <c r="F53" s="12">
        <f>IF($A53="","",IF(INDEX(ref_indicateurs!$O:$O,MATCH($A53,ref_indicateurs!$A:$A,0))="","",INDEX(ref_indicateurs!$O:$O,MATCH($A53,ref_indicateurs!$A:$A,0))))</f>
        <v/>
      </c>
      <c r="G53" s="13">
        <f>IF($A53="","",SUMIFS(saisie_hebdo!$L:$L,saisie_hebdo!$I:$I,$A53))</f>
        <v/>
      </c>
      <c r="H53" s="13">
        <f>IF($A53="","",SUMIFS(saisie_hebdo!$M:$M,saisie_hebdo!$I:$I,$A53))</f>
        <v/>
      </c>
      <c r="I53" s="14">
        <f>IF(OR($A53="",L53=0),"",IF(D53="Pourcentage",IF(H53&gt;0,G53/H53*100,""),G53))</f>
        <v/>
      </c>
      <c r="J53" s="15">
        <f>IF(OR(I53="",F53="",F53=0),"",I53/F53)</f>
        <v/>
      </c>
      <c r="K53" s="12">
        <f>IF(OR($A53="",L53=0),"",IF(_xlfn.MAXIFS(saisie_hebdo!$C:$C,saisie_hebdo!$I:$I,$A53)=0,"",_xlfn.MAXIFS(saisie_hebdo!$C:$C,saisie_hebdo!$I:$I,$A53)))</f>
        <v/>
      </c>
      <c r="L53" s="12">
        <f>IF($A53="","",COUNTIFS(saisie_hebdo!$I:$I,$A53))</f>
        <v/>
      </c>
      <c r="M53" s="12">
        <f>IF($A53="","",IF(L53=0,"Non rapporté",IF(F53="","Suivi sans cible",IF(D53="Pourcentage",IF(I53&gt;=F53,"Cible atteinte","Sous la cible"),IF(J53&gt;=1,"Cible atteinte","En cours")))))</f>
        <v/>
      </c>
    </row>
    <row r="54">
      <c r="A54" s="12">
        <f>IFERROR(INDEX(ref_indicateurs!$A:$A,51)&amp;"","")</f>
        <v/>
      </c>
      <c r="B54" s="12">
        <f>IF($A54="","",INDEX(ref_indicateurs!$B:$B,MATCH($A54,ref_indicateurs!$A:$A,0))&amp;"")</f>
        <v/>
      </c>
      <c r="C54" s="12">
        <f>IF($A54="","",INDEX(ref_indicateurs!$C:$C,MATCH($A54,ref_indicateurs!$A:$A,0))&amp;"")</f>
        <v/>
      </c>
      <c r="D54" s="12">
        <f>IF($A54="","",INDEX(ref_indicateurs!$E:$E,MATCH($A54,ref_indicateurs!$A:$A,0))&amp;"")</f>
        <v/>
      </c>
      <c r="E54" s="12">
        <f>IF($A54="","",INDEX(ref_indicateurs!$M:$M,MATCH($A54,ref_indicateurs!$A:$A,0))&amp;"")</f>
        <v/>
      </c>
      <c r="F54" s="12">
        <f>IF($A54="","",IF(INDEX(ref_indicateurs!$O:$O,MATCH($A54,ref_indicateurs!$A:$A,0))="","",INDEX(ref_indicateurs!$O:$O,MATCH($A54,ref_indicateurs!$A:$A,0))))</f>
        <v/>
      </c>
      <c r="G54" s="13">
        <f>IF($A54="","",SUMIFS(saisie_hebdo!$L:$L,saisie_hebdo!$I:$I,$A54))</f>
        <v/>
      </c>
      <c r="H54" s="13">
        <f>IF($A54="","",SUMIFS(saisie_hebdo!$M:$M,saisie_hebdo!$I:$I,$A54))</f>
        <v/>
      </c>
      <c r="I54" s="14">
        <f>IF(OR($A54="",L54=0),"",IF(D54="Pourcentage",IF(H54&gt;0,G54/H54*100,""),G54))</f>
        <v/>
      </c>
      <c r="J54" s="15">
        <f>IF(OR(I54="",F54="",F54=0),"",I54/F54)</f>
        <v/>
      </c>
      <c r="K54" s="12">
        <f>IF(OR($A54="",L54=0),"",IF(_xlfn.MAXIFS(saisie_hebdo!$C:$C,saisie_hebdo!$I:$I,$A54)=0,"",_xlfn.MAXIFS(saisie_hebdo!$C:$C,saisie_hebdo!$I:$I,$A54)))</f>
        <v/>
      </c>
      <c r="L54" s="12">
        <f>IF($A54="","",COUNTIFS(saisie_hebdo!$I:$I,$A54))</f>
        <v/>
      </c>
      <c r="M54" s="12">
        <f>IF($A54="","",IF(L54=0,"Non rapporté",IF(F54="","Suivi sans cible",IF(D54="Pourcentage",IF(I54&gt;=F54,"Cible atteinte","Sous la cible"),IF(J54&gt;=1,"Cible atteinte","En cours")))))</f>
        <v/>
      </c>
    </row>
    <row r="55">
      <c r="A55" s="12">
        <f>IFERROR(INDEX(ref_indicateurs!$A:$A,52)&amp;"","")</f>
        <v/>
      </c>
      <c r="B55" s="12">
        <f>IF($A55="","",INDEX(ref_indicateurs!$B:$B,MATCH($A55,ref_indicateurs!$A:$A,0))&amp;"")</f>
        <v/>
      </c>
      <c r="C55" s="12">
        <f>IF($A55="","",INDEX(ref_indicateurs!$C:$C,MATCH($A55,ref_indicateurs!$A:$A,0))&amp;"")</f>
        <v/>
      </c>
      <c r="D55" s="12">
        <f>IF($A55="","",INDEX(ref_indicateurs!$E:$E,MATCH($A55,ref_indicateurs!$A:$A,0))&amp;"")</f>
        <v/>
      </c>
      <c r="E55" s="12">
        <f>IF($A55="","",INDEX(ref_indicateurs!$M:$M,MATCH($A55,ref_indicateurs!$A:$A,0))&amp;"")</f>
        <v/>
      </c>
      <c r="F55" s="12">
        <f>IF($A55="","",IF(INDEX(ref_indicateurs!$O:$O,MATCH($A55,ref_indicateurs!$A:$A,0))="","",INDEX(ref_indicateurs!$O:$O,MATCH($A55,ref_indicateurs!$A:$A,0))))</f>
        <v/>
      </c>
      <c r="G55" s="13">
        <f>IF($A55="","",SUMIFS(saisie_hebdo!$L:$L,saisie_hebdo!$I:$I,$A55))</f>
        <v/>
      </c>
      <c r="H55" s="13">
        <f>IF($A55="","",SUMIFS(saisie_hebdo!$M:$M,saisie_hebdo!$I:$I,$A55))</f>
        <v/>
      </c>
      <c r="I55" s="14">
        <f>IF(OR($A55="",L55=0),"",IF(D55="Pourcentage",IF(H55&gt;0,G55/H55*100,""),G55))</f>
        <v/>
      </c>
      <c r="J55" s="15">
        <f>IF(OR(I55="",F55="",F55=0),"",I55/F55)</f>
        <v/>
      </c>
      <c r="K55" s="12">
        <f>IF(OR($A55="",L55=0),"",IF(_xlfn.MAXIFS(saisie_hebdo!$C:$C,saisie_hebdo!$I:$I,$A55)=0,"",_xlfn.MAXIFS(saisie_hebdo!$C:$C,saisie_hebdo!$I:$I,$A55)))</f>
        <v/>
      </c>
      <c r="L55" s="12">
        <f>IF($A55="","",COUNTIFS(saisie_hebdo!$I:$I,$A55))</f>
        <v/>
      </c>
      <c r="M55" s="12">
        <f>IF($A55="","",IF(L55=0,"Non rapporté",IF(F55="","Suivi sans cible",IF(D55="Pourcentage",IF(I55&gt;=F55,"Cible atteinte","Sous la cible"),IF(J55&gt;=1,"Cible atteinte","En cours")))))</f>
        <v/>
      </c>
    </row>
    <row r="56">
      <c r="A56" s="12">
        <f>IFERROR(INDEX(ref_indicateurs!$A:$A,53)&amp;"","")</f>
        <v/>
      </c>
      <c r="B56" s="12">
        <f>IF($A56="","",INDEX(ref_indicateurs!$B:$B,MATCH($A56,ref_indicateurs!$A:$A,0))&amp;"")</f>
        <v/>
      </c>
      <c r="C56" s="12">
        <f>IF($A56="","",INDEX(ref_indicateurs!$C:$C,MATCH($A56,ref_indicateurs!$A:$A,0))&amp;"")</f>
        <v/>
      </c>
      <c r="D56" s="12">
        <f>IF($A56="","",INDEX(ref_indicateurs!$E:$E,MATCH($A56,ref_indicateurs!$A:$A,0))&amp;"")</f>
        <v/>
      </c>
      <c r="E56" s="12">
        <f>IF($A56="","",INDEX(ref_indicateurs!$M:$M,MATCH($A56,ref_indicateurs!$A:$A,0))&amp;"")</f>
        <v/>
      </c>
      <c r="F56" s="12">
        <f>IF($A56="","",IF(INDEX(ref_indicateurs!$O:$O,MATCH($A56,ref_indicateurs!$A:$A,0))="","",INDEX(ref_indicateurs!$O:$O,MATCH($A56,ref_indicateurs!$A:$A,0))))</f>
        <v/>
      </c>
      <c r="G56" s="13">
        <f>IF($A56="","",SUMIFS(saisie_hebdo!$L:$L,saisie_hebdo!$I:$I,$A56))</f>
        <v/>
      </c>
      <c r="H56" s="13">
        <f>IF($A56="","",SUMIFS(saisie_hebdo!$M:$M,saisie_hebdo!$I:$I,$A56))</f>
        <v/>
      </c>
      <c r="I56" s="14">
        <f>IF(OR($A56="",L56=0),"",IF(D56="Pourcentage",IF(H56&gt;0,G56/H56*100,""),G56))</f>
        <v/>
      </c>
      <c r="J56" s="15">
        <f>IF(OR(I56="",F56="",F56=0),"",I56/F56)</f>
        <v/>
      </c>
      <c r="K56" s="12">
        <f>IF(OR($A56="",L56=0),"",IF(_xlfn.MAXIFS(saisie_hebdo!$C:$C,saisie_hebdo!$I:$I,$A56)=0,"",_xlfn.MAXIFS(saisie_hebdo!$C:$C,saisie_hebdo!$I:$I,$A56)))</f>
        <v/>
      </c>
      <c r="L56" s="12">
        <f>IF($A56="","",COUNTIFS(saisie_hebdo!$I:$I,$A56))</f>
        <v/>
      </c>
      <c r="M56" s="12">
        <f>IF($A56="","",IF(L56=0,"Non rapporté",IF(F56="","Suivi sans cible",IF(D56="Pourcentage",IF(I56&gt;=F56,"Cible atteinte","Sous la cible"),IF(J56&gt;=1,"Cible atteinte","En cours")))))</f>
        <v/>
      </c>
    </row>
    <row r="57">
      <c r="A57" s="12">
        <f>IFERROR(INDEX(ref_indicateurs!$A:$A,54)&amp;"","")</f>
        <v/>
      </c>
      <c r="B57" s="12">
        <f>IF($A57="","",INDEX(ref_indicateurs!$B:$B,MATCH($A57,ref_indicateurs!$A:$A,0))&amp;"")</f>
        <v/>
      </c>
      <c r="C57" s="12">
        <f>IF($A57="","",INDEX(ref_indicateurs!$C:$C,MATCH($A57,ref_indicateurs!$A:$A,0))&amp;"")</f>
        <v/>
      </c>
      <c r="D57" s="12">
        <f>IF($A57="","",INDEX(ref_indicateurs!$E:$E,MATCH($A57,ref_indicateurs!$A:$A,0))&amp;"")</f>
        <v/>
      </c>
      <c r="E57" s="12">
        <f>IF($A57="","",INDEX(ref_indicateurs!$M:$M,MATCH($A57,ref_indicateurs!$A:$A,0))&amp;"")</f>
        <v/>
      </c>
      <c r="F57" s="12">
        <f>IF($A57="","",IF(INDEX(ref_indicateurs!$O:$O,MATCH($A57,ref_indicateurs!$A:$A,0))="","",INDEX(ref_indicateurs!$O:$O,MATCH($A57,ref_indicateurs!$A:$A,0))))</f>
        <v/>
      </c>
      <c r="G57" s="13">
        <f>IF($A57="","",SUMIFS(saisie_hebdo!$L:$L,saisie_hebdo!$I:$I,$A57))</f>
        <v/>
      </c>
      <c r="H57" s="13">
        <f>IF($A57="","",SUMIFS(saisie_hebdo!$M:$M,saisie_hebdo!$I:$I,$A57))</f>
        <v/>
      </c>
      <c r="I57" s="14">
        <f>IF(OR($A57="",L57=0),"",IF(D57="Pourcentage",IF(H57&gt;0,G57/H57*100,""),G57))</f>
        <v/>
      </c>
      <c r="J57" s="15">
        <f>IF(OR(I57="",F57="",F57=0),"",I57/F57)</f>
        <v/>
      </c>
      <c r="K57" s="12">
        <f>IF(OR($A57="",L57=0),"",IF(_xlfn.MAXIFS(saisie_hebdo!$C:$C,saisie_hebdo!$I:$I,$A57)=0,"",_xlfn.MAXIFS(saisie_hebdo!$C:$C,saisie_hebdo!$I:$I,$A57)))</f>
        <v/>
      </c>
      <c r="L57" s="12">
        <f>IF($A57="","",COUNTIFS(saisie_hebdo!$I:$I,$A57))</f>
        <v/>
      </c>
      <c r="M57" s="12">
        <f>IF($A57="","",IF(L57=0,"Non rapporté",IF(F57="","Suivi sans cible",IF(D57="Pourcentage",IF(I57&gt;=F57,"Cible atteinte","Sous la cible"),IF(J57&gt;=1,"Cible atteinte","En cours")))))</f>
        <v/>
      </c>
    </row>
    <row r="58">
      <c r="A58" s="12">
        <f>IFERROR(INDEX(ref_indicateurs!$A:$A,55)&amp;"","")</f>
        <v/>
      </c>
      <c r="B58" s="12">
        <f>IF($A58="","",INDEX(ref_indicateurs!$B:$B,MATCH($A58,ref_indicateurs!$A:$A,0))&amp;"")</f>
        <v/>
      </c>
      <c r="C58" s="12">
        <f>IF($A58="","",INDEX(ref_indicateurs!$C:$C,MATCH($A58,ref_indicateurs!$A:$A,0))&amp;"")</f>
        <v/>
      </c>
      <c r="D58" s="12">
        <f>IF($A58="","",INDEX(ref_indicateurs!$E:$E,MATCH($A58,ref_indicateurs!$A:$A,0))&amp;"")</f>
        <v/>
      </c>
      <c r="E58" s="12">
        <f>IF($A58="","",INDEX(ref_indicateurs!$M:$M,MATCH($A58,ref_indicateurs!$A:$A,0))&amp;"")</f>
        <v/>
      </c>
      <c r="F58" s="12">
        <f>IF($A58="","",IF(INDEX(ref_indicateurs!$O:$O,MATCH($A58,ref_indicateurs!$A:$A,0))="","",INDEX(ref_indicateurs!$O:$O,MATCH($A58,ref_indicateurs!$A:$A,0))))</f>
        <v/>
      </c>
      <c r="G58" s="13">
        <f>IF($A58="","",SUMIFS(saisie_hebdo!$L:$L,saisie_hebdo!$I:$I,$A58))</f>
        <v/>
      </c>
      <c r="H58" s="13">
        <f>IF($A58="","",SUMIFS(saisie_hebdo!$M:$M,saisie_hebdo!$I:$I,$A58))</f>
        <v/>
      </c>
      <c r="I58" s="14">
        <f>IF(OR($A58="",L58=0),"",IF(D58="Pourcentage",IF(H58&gt;0,G58/H58*100,""),G58))</f>
        <v/>
      </c>
      <c r="J58" s="15">
        <f>IF(OR(I58="",F58="",F58=0),"",I58/F58)</f>
        <v/>
      </c>
      <c r="K58" s="12">
        <f>IF(OR($A58="",L58=0),"",IF(_xlfn.MAXIFS(saisie_hebdo!$C:$C,saisie_hebdo!$I:$I,$A58)=0,"",_xlfn.MAXIFS(saisie_hebdo!$C:$C,saisie_hebdo!$I:$I,$A58)))</f>
        <v/>
      </c>
      <c r="L58" s="12">
        <f>IF($A58="","",COUNTIFS(saisie_hebdo!$I:$I,$A58))</f>
        <v/>
      </c>
      <c r="M58" s="12">
        <f>IF($A58="","",IF(L58=0,"Non rapporté",IF(F58="","Suivi sans cible",IF(D58="Pourcentage",IF(I58&gt;=F58,"Cible atteinte","Sous la cible"),IF(J58&gt;=1,"Cible atteinte","En cours")))))</f>
        <v/>
      </c>
    </row>
    <row r="59">
      <c r="A59" s="12">
        <f>IFERROR(INDEX(ref_indicateurs!$A:$A,56)&amp;"","")</f>
        <v/>
      </c>
      <c r="B59" s="12">
        <f>IF($A59="","",INDEX(ref_indicateurs!$B:$B,MATCH($A59,ref_indicateurs!$A:$A,0))&amp;"")</f>
        <v/>
      </c>
      <c r="C59" s="12">
        <f>IF($A59="","",INDEX(ref_indicateurs!$C:$C,MATCH($A59,ref_indicateurs!$A:$A,0))&amp;"")</f>
        <v/>
      </c>
      <c r="D59" s="12">
        <f>IF($A59="","",INDEX(ref_indicateurs!$E:$E,MATCH($A59,ref_indicateurs!$A:$A,0))&amp;"")</f>
        <v/>
      </c>
      <c r="E59" s="12">
        <f>IF($A59="","",INDEX(ref_indicateurs!$M:$M,MATCH($A59,ref_indicateurs!$A:$A,0))&amp;"")</f>
        <v/>
      </c>
      <c r="F59" s="12">
        <f>IF($A59="","",IF(INDEX(ref_indicateurs!$O:$O,MATCH($A59,ref_indicateurs!$A:$A,0))="","",INDEX(ref_indicateurs!$O:$O,MATCH($A59,ref_indicateurs!$A:$A,0))))</f>
        <v/>
      </c>
      <c r="G59" s="13">
        <f>IF($A59="","",SUMIFS(saisie_hebdo!$L:$L,saisie_hebdo!$I:$I,$A59))</f>
        <v/>
      </c>
      <c r="H59" s="13">
        <f>IF($A59="","",SUMIFS(saisie_hebdo!$M:$M,saisie_hebdo!$I:$I,$A59))</f>
        <v/>
      </c>
      <c r="I59" s="14">
        <f>IF(OR($A59="",L59=0),"",IF(D59="Pourcentage",IF(H59&gt;0,G59/H59*100,""),G59))</f>
        <v/>
      </c>
      <c r="J59" s="15">
        <f>IF(OR(I59="",F59="",F59=0),"",I59/F59)</f>
        <v/>
      </c>
      <c r="K59" s="12">
        <f>IF(OR($A59="",L59=0),"",IF(_xlfn.MAXIFS(saisie_hebdo!$C:$C,saisie_hebdo!$I:$I,$A59)=0,"",_xlfn.MAXIFS(saisie_hebdo!$C:$C,saisie_hebdo!$I:$I,$A59)))</f>
        <v/>
      </c>
      <c r="L59" s="12">
        <f>IF($A59="","",COUNTIFS(saisie_hebdo!$I:$I,$A59))</f>
        <v/>
      </c>
      <c r="M59" s="12">
        <f>IF($A59="","",IF(L59=0,"Non rapporté",IF(F59="","Suivi sans cible",IF(D59="Pourcentage",IF(I59&gt;=F59,"Cible atteinte","Sous la cible"),IF(J59&gt;=1,"Cible atteinte","En cours")))))</f>
        <v/>
      </c>
    </row>
    <row r="60">
      <c r="A60" s="12">
        <f>IFERROR(INDEX(ref_indicateurs!$A:$A,57)&amp;"","")</f>
        <v/>
      </c>
      <c r="B60" s="12">
        <f>IF($A60="","",INDEX(ref_indicateurs!$B:$B,MATCH($A60,ref_indicateurs!$A:$A,0))&amp;"")</f>
        <v/>
      </c>
      <c r="C60" s="12">
        <f>IF($A60="","",INDEX(ref_indicateurs!$C:$C,MATCH($A60,ref_indicateurs!$A:$A,0))&amp;"")</f>
        <v/>
      </c>
      <c r="D60" s="12">
        <f>IF($A60="","",INDEX(ref_indicateurs!$E:$E,MATCH($A60,ref_indicateurs!$A:$A,0))&amp;"")</f>
        <v/>
      </c>
      <c r="E60" s="12">
        <f>IF($A60="","",INDEX(ref_indicateurs!$M:$M,MATCH($A60,ref_indicateurs!$A:$A,0))&amp;"")</f>
        <v/>
      </c>
      <c r="F60" s="12">
        <f>IF($A60="","",IF(INDEX(ref_indicateurs!$O:$O,MATCH($A60,ref_indicateurs!$A:$A,0))="","",INDEX(ref_indicateurs!$O:$O,MATCH($A60,ref_indicateurs!$A:$A,0))))</f>
        <v/>
      </c>
      <c r="G60" s="13">
        <f>IF($A60="","",SUMIFS(saisie_hebdo!$L:$L,saisie_hebdo!$I:$I,$A60))</f>
        <v/>
      </c>
      <c r="H60" s="13">
        <f>IF($A60="","",SUMIFS(saisie_hebdo!$M:$M,saisie_hebdo!$I:$I,$A60))</f>
        <v/>
      </c>
      <c r="I60" s="14">
        <f>IF(OR($A60="",L60=0),"",IF(D60="Pourcentage",IF(H60&gt;0,G60/H60*100,""),G60))</f>
        <v/>
      </c>
      <c r="J60" s="15">
        <f>IF(OR(I60="",F60="",F60=0),"",I60/F60)</f>
        <v/>
      </c>
      <c r="K60" s="12">
        <f>IF(OR($A60="",L60=0),"",IF(_xlfn.MAXIFS(saisie_hebdo!$C:$C,saisie_hebdo!$I:$I,$A60)=0,"",_xlfn.MAXIFS(saisie_hebdo!$C:$C,saisie_hebdo!$I:$I,$A60)))</f>
        <v/>
      </c>
      <c r="L60" s="12">
        <f>IF($A60="","",COUNTIFS(saisie_hebdo!$I:$I,$A60))</f>
        <v/>
      </c>
      <c r="M60" s="12">
        <f>IF($A60="","",IF(L60=0,"Non rapporté",IF(F60="","Suivi sans cible",IF(D60="Pourcentage",IF(I60&gt;=F60,"Cible atteinte","Sous la cible"),IF(J60&gt;=1,"Cible atteinte","En cours")))))</f>
        <v/>
      </c>
    </row>
    <row r="61">
      <c r="A61" s="12">
        <f>IFERROR(INDEX(ref_indicateurs!$A:$A,58)&amp;"","")</f>
        <v/>
      </c>
      <c r="B61" s="12">
        <f>IF($A61="","",INDEX(ref_indicateurs!$B:$B,MATCH($A61,ref_indicateurs!$A:$A,0))&amp;"")</f>
        <v/>
      </c>
      <c r="C61" s="12">
        <f>IF($A61="","",INDEX(ref_indicateurs!$C:$C,MATCH($A61,ref_indicateurs!$A:$A,0))&amp;"")</f>
        <v/>
      </c>
      <c r="D61" s="12">
        <f>IF($A61="","",INDEX(ref_indicateurs!$E:$E,MATCH($A61,ref_indicateurs!$A:$A,0))&amp;"")</f>
        <v/>
      </c>
      <c r="E61" s="12">
        <f>IF($A61="","",INDEX(ref_indicateurs!$M:$M,MATCH($A61,ref_indicateurs!$A:$A,0))&amp;"")</f>
        <v/>
      </c>
      <c r="F61" s="12">
        <f>IF($A61="","",IF(INDEX(ref_indicateurs!$O:$O,MATCH($A61,ref_indicateurs!$A:$A,0))="","",INDEX(ref_indicateurs!$O:$O,MATCH($A61,ref_indicateurs!$A:$A,0))))</f>
        <v/>
      </c>
      <c r="G61" s="13">
        <f>IF($A61="","",SUMIFS(saisie_hebdo!$L:$L,saisie_hebdo!$I:$I,$A61))</f>
        <v/>
      </c>
      <c r="H61" s="13">
        <f>IF($A61="","",SUMIFS(saisie_hebdo!$M:$M,saisie_hebdo!$I:$I,$A61))</f>
        <v/>
      </c>
      <c r="I61" s="14">
        <f>IF(OR($A61="",L61=0),"",IF(D61="Pourcentage",IF(H61&gt;0,G61/H61*100,""),G61))</f>
        <v/>
      </c>
      <c r="J61" s="15">
        <f>IF(OR(I61="",F61="",F61=0),"",I61/F61)</f>
        <v/>
      </c>
      <c r="K61" s="12">
        <f>IF(OR($A61="",L61=0),"",IF(_xlfn.MAXIFS(saisie_hebdo!$C:$C,saisie_hebdo!$I:$I,$A61)=0,"",_xlfn.MAXIFS(saisie_hebdo!$C:$C,saisie_hebdo!$I:$I,$A61)))</f>
        <v/>
      </c>
      <c r="L61" s="12">
        <f>IF($A61="","",COUNTIFS(saisie_hebdo!$I:$I,$A61))</f>
        <v/>
      </c>
      <c r="M61" s="12">
        <f>IF($A61="","",IF(L61=0,"Non rapporté",IF(F61="","Suivi sans cible",IF(D61="Pourcentage",IF(I61&gt;=F61,"Cible atteinte","Sous la cible"),IF(J61&gt;=1,"Cible atteinte","En cours")))))</f>
        <v/>
      </c>
    </row>
    <row r="62">
      <c r="A62" s="12">
        <f>IFERROR(INDEX(ref_indicateurs!$A:$A,59)&amp;"","")</f>
        <v/>
      </c>
      <c r="B62" s="12">
        <f>IF($A62="","",INDEX(ref_indicateurs!$B:$B,MATCH($A62,ref_indicateurs!$A:$A,0))&amp;"")</f>
        <v/>
      </c>
      <c r="C62" s="12">
        <f>IF($A62="","",INDEX(ref_indicateurs!$C:$C,MATCH($A62,ref_indicateurs!$A:$A,0))&amp;"")</f>
        <v/>
      </c>
      <c r="D62" s="12">
        <f>IF($A62="","",INDEX(ref_indicateurs!$E:$E,MATCH($A62,ref_indicateurs!$A:$A,0))&amp;"")</f>
        <v/>
      </c>
      <c r="E62" s="12">
        <f>IF($A62="","",INDEX(ref_indicateurs!$M:$M,MATCH($A62,ref_indicateurs!$A:$A,0))&amp;"")</f>
        <v/>
      </c>
      <c r="F62" s="12">
        <f>IF($A62="","",IF(INDEX(ref_indicateurs!$O:$O,MATCH($A62,ref_indicateurs!$A:$A,0))="","",INDEX(ref_indicateurs!$O:$O,MATCH($A62,ref_indicateurs!$A:$A,0))))</f>
        <v/>
      </c>
      <c r="G62" s="13">
        <f>IF($A62="","",SUMIFS(saisie_hebdo!$L:$L,saisie_hebdo!$I:$I,$A62))</f>
        <v/>
      </c>
      <c r="H62" s="13">
        <f>IF($A62="","",SUMIFS(saisie_hebdo!$M:$M,saisie_hebdo!$I:$I,$A62))</f>
        <v/>
      </c>
      <c r="I62" s="14">
        <f>IF(OR($A62="",L62=0),"",IF(D62="Pourcentage",IF(H62&gt;0,G62/H62*100,""),G62))</f>
        <v/>
      </c>
      <c r="J62" s="15">
        <f>IF(OR(I62="",F62="",F62=0),"",I62/F62)</f>
        <v/>
      </c>
      <c r="K62" s="12">
        <f>IF(OR($A62="",L62=0),"",IF(_xlfn.MAXIFS(saisie_hebdo!$C:$C,saisie_hebdo!$I:$I,$A62)=0,"",_xlfn.MAXIFS(saisie_hebdo!$C:$C,saisie_hebdo!$I:$I,$A62)))</f>
        <v/>
      </c>
      <c r="L62" s="12">
        <f>IF($A62="","",COUNTIFS(saisie_hebdo!$I:$I,$A62))</f>
        <v/>
      </c>
      <c r="M62" s="12">
        <f>IF($A62="","",IF(L62=0,"Non rapporté",IF(F62="","Suivi sans cible",IF(D62="Pourcentage",IF(I62&gt;=F62,"Cible atteinte","Sous la cible"),IF(J62&gt;=1,"Cible atteinte","En cours")))))</f>
        <v/>
      </c>
    </row>
    <row r="63">
      <c r="A63" s="12">
        <f>IFERROR(INDEX(ref_indicateurs!$A:$A,60)&amp;"","")</f>
        <v/>
      </c>
      <c r="B63" s="12">
        <f>IF($A63="","",INDEX(ref_indicateurs!$B:$B,MATCH($A63,ref_indicateurs!$A:$A,0))&amp;"")</f>
        <v/>
      </c>
      <c r="C63" s="12">
        <f>IF($A63="","",INDEX(ref_indicateurs!$C:$C,MATCH($A63,ref_indicateurs!$A:$A,0))&amp;"")</f>
        <v/>
      </c>
      <c r="D63" s="12">
        <f>IF($A63="","",INDEX(ref_indicateurs!$E:$E,MATCH($A63,ref_indicateurs!$A:$A,0))&amp;"")</f>
        <v/>
      </c>
      <c r="E63" s="12">
        <f>IF($A63="","",INDEX(ref_indicateurs!$M:$M,MATCH($A63,ref_indicateurs!$A:$A,0))&amp;"")</f>
        <v/>
      </c>
      <c r="F63" s="12">
        <f>IF($A63="","",IF(INDEX(ref_indicateurs!$O:$O,MATCH($A63,ref_indicateurs!$A:$A,0))="","",INDEX(ref_indicateurs!$O:$O,MATCH($A63,ref_indicateurs!$A:$A,0))))</f>
        <v/>
      </c>
      <c r="G63" s="13">
        <f>IF($A63="","",SUMIFS(saisie_hebdo!$L:$L,saisie_hebdo!$I:$I,$A63))</f>
        <v/>
      </c>
      <c r="H63" s="13">
        <f>IF($A63="","",SUMIFS(saisie_hebdo!$M:$M,saisie_hebdo!$I:$I,$A63))</f>
        <v/>
      </c>
      <c r="I63" s="14">
        <f>IF(OR($A63="",L63=0),"",IF(D63="Pourcentage",IF(H63&gt;0,G63/H63*100,""),G63))</f>
        <v/>
      </c>
      <c r="J63" s="15">
        <f>IF(OR(I63="",F63="",F63=0),"",I63/F63)</f>
        <v/>
      </c>
      <c r="K63" s="12">
        <f>IF(OR($A63="",L63=0),"",IF(_xlfn.MAXIFS(saisie_hebdo!$C:$C,saisie_hebdo!$I:$I,$A63)=0,"",_xlfn.MAXIFS(saisie_hebdo!$C:$C,saisie_hebdo!$I:$I,$A63)))</f>
        <v/>
      </c>
      <c r="L63" s="12">
        <f>IF($A63="","",COUNTIFS(saisie_hebdo!$I:$I,$A63))</f>
        <v/>
      </c>
      <c r="M63" s="12">
        <f>IF($A63="","",IF(L63=0,"Non rapporté",IF(F63="","Suivi sans cible",IF(D63="Pourcentage",IF(I63&gt;=F63,"Cible atteinte","Sous la cible"),IF(J63&gt;=1,"Cible atteinte","En cours")))))</f>
        <v/>
      </c>
    </row>
    <row r="64">
      <c r="A64" s="12">
        <f>IFERROR(INDEX(ref_indicateurs!$A:$A,61)&amp;"","")</f>
        <v/>
      </c>
      <c r="B64" s="12">
        <f>IF($A64="","",INDEX(ref_indicateurs!$B:$B,MATCH($A64,ref_indicateurs!$A:$A,0))&amp;"")</f>
        <v/>
      </c>
      <c r="C64" s="12">
        <f>IF($A64="","",INDEX(ref_indicateurs!$C:$C,MATCH($A64,ref_indicateurs!$A:$A,0))&amp;"")</f>
        <v/>
      </c>
      <c r="D64" s="12">
        <f>IF($A64="","",INDEX(ref_indicateurs!$E:$E,MATCH($A64,ref_indicateurs!$A:$A,0))&amp;"")</f>
        <v/>
      </c>
      <c r="E64" s="12">
        <f>IF($A64="","",INDEX(ref_indicateurs!$M:$M,MATCH($A64,ref_indicateurs!$A:$A,0))&amp;"")</f>
        <v/>
      </c>
      <c r="F64" s="12">
        <f>IF($A64="","",IF(INDEX(ref_indicateurs!$O:$O,MATCH($A64,ref_indicateurs!$A:$A,0))="","",INDEX(ref_indicateurs!$O:$O,MATCH($A64,ref_indicateurs!$A:$A,0))))</f>
        <v/>
      </c>
      <c r="G64" s="13">
        <f>IF($A64="","",SUMIFS(saisie_hebdo!$L:$L,saisie_hebdo!$I:$I,$A64))</f>
        <v/>
      </c>
      <c r="H64" s="13">
        <f>IF($A64="","",SUMIFS(saisie_hebdo!$M:$M,saisie_hebdo!$I:$I,$A64))</f>
        <v/>
      </c>
      <c r="I64" s="14">
        <f>IF(OR($A64="",L64=0),"",IF(D64="Pourcentage",IF(H64&gt;0,G64/H64*100,""),G64))</f>
        <v/>
      </c>
      <c r="J64" s="15">
        <f>IF(OR(I64="",F64="",F64=0),"",I64/F64)</f>
        <v/>
      </c>
      <c r="K64" s="12">
        <f>IF(OR($A64="",L64=0),"",IF(_xlfn.MAXIFS(saisie_hebdo!$C:$C,saisie_hebdo!$I:$I,$A64)=0,"",_xlfn.MAXIFS(saisie_hebdo!$C:$C,saisie_hebdo!$I:$I,$A64)))</f>
        <v/>
      </c>
      <c r="L64" s="12">
        <f>IF($A64="","",COUNTIFS(saisie_hebdo!$I:$I,$A64))</f>
        <v/>
      </c>
      <c r="M64" s="12">
        <f>IF($A64="","",IF(L64=0,"Non rapporté",IF(F64="","Suivi sans cible",IF(D64="Pourcentage",IF(I64&gt;=F64,"Cible atteinte","Sous la cible"),IF(J64&gt;=1,"Cible atteinte","En cours")))))</f>
        <v/>
      </c>
    </row>
    <row r="65">
      <c r="A65" s="12">
        <f>IFERROR(INDEX(ref_indicateurs!$A:$A,62)&amp;"","")</f>
        <v/>
      </c>
      <c r="B65" s="12">
        <f>IF($A65="","",INDEX(ref_indicateurs!$B:$B,MATCH($A65,ref_indicateurs!$A:$A,0))&amp;"")</f>
        <v/>
      </c>
      <c r="C65" s="12">
        <f>IF($A65="","",INDEX(ref_indicateurs!$C:$C,MATCH($A65,ref_indicateurs!$A:$A,0))&amp;"")</f>
        <v/>
      </c>
      <c r="D65" s="12">
        <f>IF($A65="","",INDEX(ref_indicateurs!$E:$E,MATCH($A65,ref_indicateurs!$A:$A,0))&amp;"")</f>
        <v/>
      </c>
      <c r="E65" s="12">
        <f>IF($A65="","",INDEX(ref_indicateurs!$M:$M,MATCH($A65,ref_indicateurs!$A:$A,0))&amp;"")</f>
        <v/>
      </c>
      <c r="F65" s="12">
        <f>IF($A65="","",IF(INDEX(ref_indicateurs!$O:$O,MATCH($A65,ref_indicateurs!$A:$A,0))="","",INDEX(ref_indicateurs!$O:$O,MATCH($A65,ref_indicateurs!$A:$A,0))))</f>
        <v/>
      </c>
      <c r="G65" s="13">
        <f>IF($A65="","",SUMIFS(saisie_hebdo!$L:$L,saisie_hebdo!$I:$I,$A65))</f>
        <v/>
      </c>
      <c r="H65" s="13">
        <f>IF($A65="","",SUMIFS(saisie_hebdo!$M:$M,saisie_hebdo!$I:$I,$A65))</f>
        <v/>
      </c>
      <c r="I65" s="14">
        <f>IF(OR($A65="",L65=0),"",IF(D65="Pourcentage",IF(H65&gt;0,G65/H65*100,""),G65))</f>
        <v/>
      </c>
      <c r="J65" s="15">
        <f>IF(OR(I65="",F65="",F65=0),"",I65/F65)</f>
        <v/>
      </c>
      <c r="K65" s="12">
        <f>IF(OR($A65="",L65=0),"",IF(_xlfn.MAXIFS(saisie_hebdo!$C:$C,saisie_hebdo!$I:$I,$A65)=0,"",_xlfn.MAXIFS(saisie_hebdo!$C:$C,saisie_hebdo!$I:$I,$A65)))</f>
        <v/>
      </c>
      <c r="L65" s="12">
        <f>IF($A65="","",COUNTIFS(saisie_hebdo!$I:$I,$A65))</f>
        <v/>
      </c>
      <c r="M65" s="12">
        <f>IF($A65="","",IF(L65=0,"Non rapporté",IF(F65="","Suivi sans cible",IF(D65="Pourcentage",IF(I65&gt;=F65,"Cible atteinte","Sous la cible"),IF(J65&gt;=1,"Cible atteinte","En cours")))))</f>
        <v/>
      </c>
    </row>
    <row r="66">
      <c r="A66" s="12">
        <f>IFERROR(INDEX(ref_indicateurs!$A:$A,63)&amp;"","")</f>
        <v/>
      </c>
      <c r="B66" s="12">
        <f>IF($A66="","",INDEX(ref_indicateurs!$B:$B,MATCH($A66,ref_indicateurs!$A:$A,0))&amp;"")</f>
        <v/>
      </c>
      <c r="C66" s="12">
        <f>IF($A66="","",INDEX(ref_indicateurs!$C:$C,MATCH($A66,ref_indicateurs!$A:$A,0))&amp;"")</f>
        <v/>
      </c>
      <c r="D66" s="12">
        <f>IF($A66="","",INDEX(ref_indicateurs!$E:$E,MATCH($A66,ref_indicateurs!$A:$A,0))&amp;"")</f>
        <v/>
      </c>
      <c r="E66" s="12">
        <f>IF($A66="","",INDEX(ref_indicateurs!$M:$M,MATCH($A66,ref_indicateurs!$A:$A,0))&amp;"")</f>
        <v/>
      </c>
      <c r="F66" s="12">
        <f>IF($A66="","",IF(INDEX(ref_indicateurs!$O:$O,MATCH($A66,ref_indicateurs!$A:$A,0))="","",INDEX(ref_indicateurs!$O:$O,MATCH($A66,ref_indicateurs!$A:$A,0))))</f>
        <v/>
      </c>
      <c r="G66" s="13">
        <f>IF($A66="","",SUMIFS(saisie_hebdo!$L:$L,saisie_hebdo!$I:$I,$A66))</f>
        <v/>
      </c>
      <c r="H66" s="13">
        <f>IF($A66="","",SUMIFS(saisie_hebdo!$M:$M,saisie_hebdo!$I:$I,$A66))</f>
        <v/>
      </c>
      <c r="I66" s="14">
        <f>IF(OR($A66="",L66=0),"",IF(D66="Pourcentage",IF(H66&gt;0,G66/H66*100,""),G66))</f>
        <v/>
      </c>
      <c r="J66" s="15">
        <f>IF(OR(I66="",F66="",F66=0),"",I66/F66)</f>
        <v/>
      </c>
      <c r="K66" s="12">
        <f>IF(OR($A66="",L66=0),"",IF(_xlfn.MAXIFS(saisie_hebdo!$C:$C,saisie_hebdo!$I:$I,$A66)=0,"",_xlfn.MAXIFS(saisie_hebdo!$C:$C,saisie_hebdo!$I:$I,$A66)))</f>
        <v/>
      </c>
      <c r="L66" s="12">
        <f>IF($A66="","",COUNTIFS(saisie_hebdo!$I:$I,$A66))</f>
        <v/>
      </c>
      <c r="M66" s="12">
        <f>IF($A66="","",IF(L66=0,"Non rapporté",IF(F66="","Suivi sans cible",IF(D66="Pourcentage",IF(I66&gt;=F66,"Cible atteinte","Sous la cible"),IF(J66&gt;=1,"Cible atteinte","En cours")))))</f>
        <v/>
      </c>
    </row>
    <row r="67">
      <c r="A67" s="12">
        <f>IFERROR(INDEX(ref_indicateurs!$A:$A,64)&amp;"","")</f>
        <v/>
      </c>
      <c r="B67" s="12">
        <f>IF($A67="","",INDEX(ref_indicateurs!$B:$B,MATCH($A67,ref_indicateurs!$A:$A,0))&amp;"")</f>
        <v/>
      </c>
      <c r="C67" s="12">
        <f>IF($A67="","",INDEX(ref_indicateurs!$C:$C,MATCH($A67,ref_indicateurs!$A:$A,0))&amp;"")</f>
        <v/>
      </c>
      <c r="D67" s="12">
        <f>IF($A67="","",INDEX(ref_indicateurs!$E:$E,MATCH($A67,ref_indicateurs!$A:$A,0))&amp;"")</f>
        <v/>
      </c>
      <c r="E67" s="12">
        <f>IF($A67="","",INDEX(ref_indicateurs!$M:$M,MATCH($A67,ref_indicateurs!$A:$A,0))&amp;"")</f>
        <v/>
      </c>
      <c r="F67" s="12">
        <f>IF($A67="","",IF(INDEX(ref_indicateurs!$O:$O,MATCH($A67,ref_indicateurs!$A:$A,0))="","",INDEX(ref_indicateurs!$O:$O,MATCH($A67,ref_indicateurs!$A:$A,0))))</f>
        <v/>
      </c>
      <c r="G67" s="13">
        <f>IF($A67="","",SUMIFS(saisie_hebdo!$L:$L,saisie_hebdo!$I:$I,$A67))</f>
        <v/>
      </c>
      <c r="H67" s="13">
        <f>IF($A67="","",SUMIFS(saisie_hebdo!$M:$M,saisie_hebdo!$I:$I,$A67))</f>
        <v/>
      </c>
      <c r="I67" s="14">
        <f>IF(OR($A67="",L67=0),"",IF(D67="Pourcentage",IF(H67&gt;0,G67/H67*100,""),G67))</f>
        <v/>
      </c>
      <c r="J67" s="15">
        <f>IF(OR(I67="",F67="",F67=0),"",I67/F67)</f>
        <v/>
      </c>
      <c r="K67" s="12">
        <f>IF(OR($A67="",L67=0),"",IF(_xlfn.MAXIFS(saisie_hebdo!$C:$C,saisie_hebdo!$I:$I,$A67)=0,"",_xlfn.MAXIFS(saisie_hebdo!$C:$C,saisie_hebdo!$I:$I,$A67)))</f>
        <v/>
      </c>
      <c r="L67" s="12">
        <f>IF($A67="","",COUNTIFS(saisie_hebdo!$I:$I,$A67))</f>
        <v/>
      </c>
      <c r="M67" s="12">
        <f>IF($A67="","",IF(L67=0,"Non rapporté",IF(F67="","Suivi sans cible",IF(D67="Pourcentage",IF(I67&gt;=F67,"Cible atteinte","Sous la cible"),IF(J67&gt;=1,"Cible atteinte","En cours")))))</f>
        <v/>
      </c>
    </row>
    <row r="68">
      <c r="A68" s="12">
        <f>IFERROR(INDEX(ref_indicateurs!$A:$A,65)&amp;"","")</f>
        <v/>
      </c>
      <c r="B68" s="12">
        <f>IF($A68="","",INDEX(ref_indicateurs!$B:$B,MATCH($A68,ref_indicateurs!$A:$A,0))&amp;"")</f>
        <v/>
      </c>
      <c r="C68" s="12">
        <f>IF($A68="","",INDEX(ref_indicateurs!$C:$C,MATCH($A68,ref_indicateurs!$A:$A,0))&amp;"")</f>
        <v/>
      </c>
      <c r="D68" s="12">
        <f>IF($A68="","",INDEX(ref_indicateurs!$E:$E,MATCH($A68,ref_indicateurs!$A:$A,0))&amp;"")</f>
        <v/>
      </c>
      <c r="E68" s="12">
        <f>IF($A68="","",INDEX(ref_indicateurs!$M:$M,MATCH($A68,ref_indicateurs!$A:$A,0))&amp;"")</f>
        <v/>
      </c>
      <c r="F68" s="12">
        <f>IF($A68="","",IF(INDEX(ref_indicateurs!$O:$O,MATCH($A68,ref_indicateurs!$A:$A,0))="","",INDEX(ref_indicateurs!$O:$O,MATCH($A68,ref_indicateurs!$A:$A,0))))</f>
        <v/>
      </c>
      <c r="G68" s="13">
        <f>IF($A68="","",SUMIFS(saisie_hebdo!$L:$L,saisie_hebdo!$I:$I,$A68))</f>
        <v/>
      </c>
      <c r="H68" s="13">
        <f>IF($A68="","",SUMIFS(saisie_hebdo!$M:$M,saisie_hebdo!$I:$I,$A68))</f>
        <v/>
      </c>
      <c r="I68" s="14">
        <f>IF(OR($A68="",L68=0),"",IF(D68="Pourcentage",IF(H68&gt;0,G68/H68*100,""),G68))</f>
        <v/>
      </c>
      <c r="J68" s="15">
        <f>IF(OR(I68="",F68="",F68=0),"",I68/F68)</f>
        <v/>
      </c>
      <c r="K68" s="12">
        <f>IF(OR($A68="",L68=0),"",IF(_xlfn.MAXIFS(saisie_hebdo!$C:$C,saisie_hebdo!$I:$I,$A68)=0,"",_xlfn.MAXIFS(saisie_hebdo!$C:$C,saisie_hebdo!$I:$I,$A68)))</f>
        <v/>
      </c>
      <c r="L68" s="12">
        <f>IF($A68="","",COUNTIFS(saisie_hebdo!$I:$I,$A68))</f>
        <v/>
      </c>
      <c r="M68" s="12">
        <f>IF($A68="","",IF(L68=0,"Non rapporté",IF(F68="","Suivi sans cible",IF(D68="Pourcentage",IF(I68&gt;=F68,"Cible atteinte","Sous la cible"),IF(J68&gt;=1,"Cible atteinte","En cours")))))</f>
        <v/>
      </c>
    </row>
    <row r="69">
      <c r="A69" s="12">
        <f>IFERROR(INDEX(ref_indicateurs!$A:$A,66)&amp;"","")</f>
        <v/>
      </c>
      <c r="B69" s="12">
        <f>IF($A69="","",INDEX(ref_indicateurs!$B:$B,MATCH($A69,ref_indicateurs!$A:$A,0))&amp;"")</f>
        <v/>
      </c>
      <c r="C69" s="12">
        <f>IF($A69="","",INDEX(ref_indicateurs!$C:$C,MATCH($A69,ref_indicateurs!$A:$A,0))&amp;"")</f>
        <v/>
      </c>
      <c r="D69" s="12">
        <f>IF($A69="","",INDEX(ref_indicateurs!$E:$E,MATCH($A69,ref_indicateurs!$A:$A,0))&amp;"")</f>
        <v/>
      </c>
      <c r="E69" s="12">
        <f>IF($A69="","",INDEX(ref_indicateurs!$M:$M,MATCH($A69,ref_indicateurs!$A:$A,0))&amp;"")</f>
        <v/>
      </c>
      <c r="F69" s="12">
        <f>IF($A69="","",IF(INDEX(ref_indicateurs!$O:$O,MATCH($A69,ref_indicateurs!$A:$A,0))="","",INDEX(ref_indicateurs!$O:$O,MATCH($A69,ref_indicateurs!$A:$A,0))))</f>
        <v/>
      </c>
      <c r="G69" s="13">
        <f>IF($A69="","",SUMIFS(saisie_hebdo!$L:$L,saisie_hebdo!$I:$I,$A69))</f>
        <v/>
      </c>
      <c r="H69" s="13">
        <f>IF($A69="","",SUMIFS(saisie_hebdo!$M:$M,saisie_hebdo!$I:$I,$A69))</f>
        <v/>
      </c>
      <c r="I69" s="14">
        <f>IF(OR($A69="",L69=0),"",IF(D69="Pourcentage",IF(H69&gt;0,G69/H69*100,""),G69))</f>
        <v/>
      </c>
      <c r="J69" s="15">
        <f>IF(OR(I69="",F69="",F69=0),"",I69/F69)</f>
        <v/>
      </c>
      <c r="K69" s="12">
        <f>IF(OR($A69="",L69=0),"",IF(_xlfn.MAXIFS(saisie_hebdo!$C:$C,saisie_hebdo!$I:$I,$A69)=0,"",_xlfn.MAXIFS(saisie_hebdo!$C:$C,saisie_hebdo!$I:$I,$A69)))</f>
        <v/>
      </c>
      <c r="L69" s="12">
        <f>IF($A69="","",COUNTIFS(saisie_hebdo!$I:$I,$A69))</f>
        <v/>
      </c>
      <c r="M69" s="12">
        <f>IF($A69="","",IF(L69=0,"Non rapporté",IF(F69="","Suivi sans cible",IF(D69="Pourcentage",IF(I69&gt;=F69,"Cible atteinte","Sous la cible"),IF(J69&gt;=1,"Cible atteinte","En cours")))))</f>
        <v/>
      </c>
    </row>
    <row r="70">
      <c r="A70" s="12">
        <f>IFERROR(INDEX(ref_indicateurs!$A:$A,67)&amp;"","")</f>
        <v/>
      </c>
      <c r="B70" s="12">
        <f>IF($A70="","",INDEX(ref_indicateurs!$B:$B,MATCH($A70,ref_indicateurs!$A:$A,0))&amp;"")</f>
        <v/>
      </c>
      <c r="C70" s="12">
        <f>IF($A70="","",INDEX(ref_indicateurs!$C:$C,MATCH($A70,ref_indicateurs!$A:$A,0))&amp;"")</f>
        <v/>
      </c>
      <c r="D70" s="12">
        <f>IF($A70="","",INDEX(ref_indicateurs!$E:$E,MATCH($A70,ref_indicateurs!$A:$A,0))&amp;"")</f>
        <v/>
      </c>
      <c r="E70" s="12">
        <f>IF($A70="","",INDEX(ref_indicateurs!$M:$M,MATCH($A70,ref_indicateurs!$A:$A,0))&amp;"")</f>
        <v/>
      </c>
      <c r="F70" s="12">
        <f>IF($A70="","",IF(INDEX(ref_indicateurs!$O:$O,MATCH($A70,ref_indicateurs!$A:$A,0))="","",INDEX(ref_indicateurs!$O:$O,MATCH($A70,ref_indicateurs!$A:$A,0))))</f>
        <v/>
      </c>
      <c r="G70" s="13">
        <f>IF($A70="","",SUMIFS(saisie_hebdo!$L:$L,saisie_hebdo!$I:$I,$A70))</f>
        <v/>
      </c>
      <c r="H70" s="13">
        <f>IF($A70="","",SUMIFS(saisie_hebdo!$M:$M,saisie_hebdo!$I:$I,$A70))</f>
        <v/>
      </c>
      <c r="I70" s="14">
        <f>IF(OR($A70="",L70=0),"",IF(D70="Pourcentage",IF(H70&gt;0,G70/H70*100,""),G70))</f>
        <v/>
      </c>
      <c r="J70" s="15">
        <f>IF(OR(I70="",F70="",F70=0),"",I70/F70)</f>
        <v/>
      </c>
      <c r="K70" s="12">
        <f>IF(OR($A70="",L70=0),"",IF(_xlfn.MAXIFS(saisie_hebdo!$C:$C,saisie_hebdo!$I:$I,$A70)=0,"",_xlfn.MAXIFS(saisie_hebdo!$C:$C,saisie_hebdo!$I:$I,$A70)))</f>
        <v/>
      </c>
      <c r="L70" s="12">
        <f>IF($A70="","",COUNTIFS(saisie_hebdo!$I:$I,$A70))</f>
        <v/>
      </c>
      <c r="M70" s="12">
        <f>IF($A70="","",IF(L70=0,"Non rapporté",IF(F70="","Suivi sans cible",IF(D70="Pourcentage",IF(I70&gt;=F70,"Cible atteinte","Sous la cible"),IF(J70&gt;=1,"Cible atteinte","En cours")))))</f>
        <v/>
      </c>
    </row>
    <row r="71">
      <c r="A71" s="12">
        <f>IFERROR(INDEX(ref_indicateurs!$A:$A,68)&amp;"","")</f>
        <v/>
      </c>
      <c r="B71" s="12">
        <f>IF($A71="","",INDEX(ref_indicateurs!$B:$B,MATCH($A71,ref_indicateurs!$A:$A,0))&amp;"")</f>
        <v/>
      </c>
      <c r="C71" s="12">
        <f>IF($A71="","",INDEX(ref_indicateurs!$C:$C,MATCH($A71,ref_indicateurs!$A:$A,0))&amp;"")</f>
        <v/>
      </c>
      <c r="D71" s="12">
        <f>IF($A71="","",INDEX(ref_indicateurs!$E:$E,MATCH($A71,ref_indicateurs!$A:$A,0))&amp;"")</f>
        <v/>
      </c>
      <c r="E71" s="12">
        <f>IF($A71="","",INDEX(ref_indicateurs!$M:$M,MATCH($A71,ref_indicateurs!$A:$A,0))&amp;"")</f>
        <v/>
      </c>
      <c r="F71" s="12">
        <f>IF($A71="","",IF(INDEX(ref_indicateurs!$O:$O,MATCH($A71,ref_indicateurs!$A:$A,0))="","",INDEX(ref_indicateurs!$O:$O,MATCH($A71,ref_indicateurs!$A:$A,0))))</f>
        <v/>
      </c>
      <c r="G71" s="13">
        <f>IF($A71="","",SUMIFS(saisie_hebdo!$L:$L,saisie_hebdo!$I:$I,$A71))</f>
        <v/>
      </c>
      <c r="H71" s="13">
        <f>IF($A71="","",SUMIFS(saisie_hebdo!$M:$M,saisie_hebdo!$I:$I,$A71))</f>
        <v/>
      </c>
      <c r="I71" s="14">
        <f>IF(OR($A71="",L71=0),"",IF(D71="Pourcentage",IF(H71&gt;0,G71/H71*100,""),G71))</f>
        <v/>
      </c>
      <c r="J71" s="15">
        <f>IF(OR(I71="",F71="",F71=0),"",I71/F71)</f>
        <v/>
      </c>
      <c r="K71" s="12">
        <f>IF(OR($A71="",L71=0),"",IF(_xlfn.MAXIFS(saisie_hebdo!$C:$C,saisie_hebdo!$I:$I,$A71)=0,"",_xlfn.MAXIFS(saisie_hebdo!$C:$C,saisie_hebdo!$I:$I,$A71)))</f>
        <v/>
      </c>
      <c r="L71" s="12">
        <f>IF($A71="","",COUNTIFS(saisie_hebdo!$I:$I,$A71))</f>
        <v/>
      </c>
      <c r="M71" s="12">
        <f>IF($A71="","",IF(L71=0,"Non rapporté",IF(F71="","Suivi sans cible",IF(D71="Pourcentage",IF(I71&gt;=F71,"Cible atteinte","Sous la cible"),IF(J71&gt;=1,"Cible atteinte","En cours")))))</f>
        <v/>
      </c>
    </row>
    <row r="72">
      <c r="A72" s="12">
        <f>IFERROR(INDEX(ref_indicateurs!$A:$A,69)&amp;"","")</f>
        <v/>
      </c>
      <c r="B72" s="12">
        <f>IF($A72="","",INDEX(ref_indicateurs!$B:$B,MATCH($A72,ref_indicateurs!$A:$A,0))&amp;"")</f>
        <v/>
      </c>
      <c r="C72" s="12">
        <f>IF($A72="","",INDEX(ref_indicateurs!$C:$C,MATCH($A72,ref_indicateurs!$A:$A,0))&amp;"")</f>
        <v/>
      </c>
      <c r="D72" s="12">
        <f>IF($A72="","",INDEX(ref_indicateurs!$E:$E,MATCH($A72,ref_indicateurs!$A:$A,0))&amp;"")</f>
        <v/>
      </c>
      <c r="E72" s="12">
        <f>IF($A72="","",INDEX(ref_indicateurs!$M:$M,MATCH($A72,ref_indicateurs!$A:$A,0))&amp;"")</f>
        <v/>
      </c>
      <c r="F72" s="12">
        <f>IF($A72="","",IF(INDEX(ref_indicateurs!$O:$O,MATCH($A72,ref_indicateurs!$A:$A,0))="","",INDEX(ref_indicateurs!$O:$O,MATCH($A72,ref_indicateurs!$A:$A,0))))</f>
        <v/>
      </c>
      <c r="G72" s="13">
        <f>IF($A72="","",SUMIFS(saisie_hebdo!$L:$L,saisie_hebdo!$I:$I,$A72))</f>
        <v/>
      </c>
      <c r="H72" s="13">
        <f>IF($A72="","",SUMIFS(saisie_hebdo!$M:$M,saisie_hebdo!$I:$I,$A72))</f>
        <v/>
      </c>
      <c r="I72" s="14">
        <f>IF(OR($A72="",L72=0),"",IF(D72="Pourcentage",IF(H72&gt;0,G72/H72*100,""),G72))</f>
        <v/>
      </c>
      <c r="J72" s="15">
        <f>IF(OR(I72="",F72="",F72=0),"",I72/F72)</f>
        <v/>
      </c>
      <c r="K72" s="12">
        <f>IF(OR($A72="",L72=0),"",IF(_xlfn.MAXIFS(saisie_hebdo!$C:$C,saisie_hebdo!$I:$I,$A72)=0,"",_xlfn.MAXIFS(saisie_hebdo!$C:$C,saisie_hebdo!$I:$I,$A72)))</f>
        <v/>
      </c>
      <c r="L72" s="12">
        <f>IF($A72="","",COUNTIFS(saisie_hebdo!$I:$I,$A72))</f>
        <v/>
      </c>
      <c r="M72" s="12">
        <f>IF($A72="","",IF(L72=0,"Non rapporté",IF(F72="","Suivi sans cible",IF(D72="Pourcentage",IF(I72&gt;=F72,"Cible atteinte","Sous la cible"),IF(J72&gt;=1,"Cible atteinte","En cours")))))</f>
        <v/>
      </c>
    </row>
    <row r="73">
      <c r="A73" s="12">
        <f>IFERROR(INDEX(ref_indicateurs!$A:$A,70)&amp;"","")</f>
        <v/>
      </c>
      <c r="B73" s="12">
        <f>IF($A73="","",INDEX(ref_indicateurs!$B:$B,MATCH($A73,ref_indicateurs!$A:$A,0))&amp;"")</f>
        <v/>
      </c>
      <c r="C73" s="12">
        <f>IF($A73="","",INDEX(ref_indicateurs!$C:$C,MATCH($A73,ref_indicateurs!$A:$A,0))&amp;"")</f>
        <v/>
      </c>
      <c r="D73" s="12">
        <f>IF($A73="","",INDEX(ref_indicateurs!$E:$E,MATCH($A73,ref_indicateurs!$A:$A,0))&amp;"")</f>
        <v/>
      </c>
      <c r="E73" s="12">
        <f>IF($A73="","",INDEX(ref_indicateurs!$M:$M,MATCH($A73,ref_indicateurs!$A:$A,0))&amp;"")</f>
        <v/>
      </c>
      <c r="F73" s="12">
        <f>IF($A73="","",IF(INDEX(ref_indicateurs!$O:$O,MATCH($A73,ref_indicateurs!$A:$A,0))="","",INDEX(ref_indicateurs!$O:$O,MATCH($A73,ref_indicateurs!$A:$A,0))))</f>
        <v/>
      </c>
      <c r="G73" s="13">
        <f>IF($A73="","",SUMIFS(saisie_hebdo!$L:$L,saisie_hebdo!$I:$I,$A73))</f>
        <v/>
      </c>
      <c r="H73" s="13">
        <f>IF($A73="","",SUMIFS(saisie_hebdo!$M:$M,saisie_hebdo!$I:$I,$A73))</f>
        <v/>
      </c>
      <c r="I73" s="14">
        <f>IF(OR($A73="",L73=0),"",IF(D73="Pourcentage",IF(H73&gt;0,G73/H73*100,""),G73))</f>
        <v/>
      </c>
      <c r="J73" s="15">
        <f>IF(OR(I73="",F73="",F73=0),"",I73/F73)</f>
        <v/>
      </c>
      <c r="K73" s="12">
        <f>IF(OR($A73="",L73=0),"",IF(_xlfn.MAXIFS(saisie_hebdo!$C:$C,saisie_hebdo!$I:$I,$A73)=0,"",_xlfn.MAXIFS(saisie_hebdo!$C:$C,saisie_hebdo!$I:$I,$A73)))</f>
        <v/>
      </c>
      <c r="L73" s="12">
        <f>IF($A73="","",COUNTIFS(saisie_hebdo!$I:$I,$A73))</f>
        <v/>
      </c>
      <c r="M73" s="12">
        <f>IF($A73="","",IF(L73=0,"Non rapporté",IF(F73="","Suivi sans cible",IF(D73="Pourcentage",IF(I73&gt;=F73,"Cible atteinte","Sous la cible"),IF(J73&gt;=1,"Cible atteinte","En cours")))))</f>
        <v/>
      </c>
    </row>
    <row r="74">
      <c r="A74" s="12">
        <f>IFERROR(INDEX(ref_indicateurs!$A:$A,71)&amp;"","")</f>
        <v/>
      </c>
      <c r="B74" s="12">
        <f>IF($A74="","",INDEX(ref_indicateurs!$B:$B,MATCH($A74,ref_indicateurs!$A:$A,0))&amp;"")</f>
        <v/>
      </c>
      <c r="C74" s="12">
        <f>IF($A74="","",INDEX(ref_indicateurs!$C:$C,MATCH($A74,ref_indicateurs!$A:$A,0))&amp;"")</f>
        <v/>
      </c>
      <c r="D74" s="12">
        <f>IF($A74="","",INDEX(ref_indicateurs!$E:$E,MATCH($A74,ref_indicateurs!$A:$A,0))&amp;"")</f>
        <v/>
      </c>
      <c r="E74" s="12">
        <f>IF($A74="","",INDEX(ref_indicateurs!$M:$M,MATCH($A74,ref_indicateurs!$A:$A,0))&amp;"")</f>
        <v/>
      </c>
      <c r="F74" s="12">
        <f>IF($A74="","",IF(INDEX(ref_indicateurs!$O:$O,MATCH($A74,ref_indicateurs!$A:$A,0))="","",INDEX(ref_indicateurs!$O:$O,MATCH($A74,ref_indicateurs!$A:$A,0))))</f>
        <v/>
      </c>
      <c r="G74" s="13">
        <f>IF($A74="","",SUMIFS(saisie_hebdo!$L:$L,saisie_hebdo!$I:$I,$A74))</f>
        <v/>
      </c>
      <c r="H74" s="13">
        <f>IF($A74="","",SUMIFS(saisie_hebdo!$M:$M,saisie_hebdo!$I:$I,$A74))</f>
        <v/>
      </c>
      <c r="I74" s="14">
        <f>IF(OR($A74="",L74=0),"",IF(D74="Pourcentage",IF(H74&gt;0,G74/H74*100,""),G74))</f>
        <v/>
      </c>
      <c r="J74" s="15">
        <f>IF(OR(I74="",F74="",F74=0),"",I74/F74)</f>
        <v/>
      </c>
      <c r="K74" s="12">
        <f>IF(OR($A74="",L74=0),"",IF(_xlfn.MAXIFS(saisie_hebdo!$C:$C,saisie_hebdo!$I:$I,$A74)=0,"",_xlfn.MAXIFS(saisie_hebdo!$C:$C,saisie_hebdo!$I:$I,$A74)))</f>
        <v/>
      </c>
      <c r="L74" s="12">
        <f>IF($A74="","",COUNTIFS(saisie_hebdo!$I:$I,$A74))</f>
        <v/>
      </c>
      <c r="M74" s="12">
        <f>IF($A74="","",IF(L74=0,"Non rapporté",IF(F74="","Suivi sans cible",IF(D74="Pourcentage",IF(I74&gt;=F74,"Cible atteinte","Sous la cible"),IF(J74&gt;=1,"Cible atteinte","En cours")))))</f>
        <v/>
      </c>
    </row>
    <row r="75">
      <c r="A75" s="12">
        <f>IFERROR(INDEX(ref_indicateurs!$A:$A,72)&amp;"","")</f>
        <v/>
      </c>
      <c r="B75" s="12">
        <f>IF($A75="","",INDEX(ref_indicateurs!$B:$B,MATCH($A75,ref_indicateurs!$A:$A,0))&amp;"")</f>
        <v/>
      </c>
      <c r="C75" s="12">
        <f>IF($A75="","",INDEX(ref_indicateurs!$C:$C,MATCH($A75,ref_indicateurs!$A:$A,0))&amp;"")</f>
        <v/>
      </c>
      <c r="D75" s="12">
        <f>IF($A75="","",INDEX(ref_indicateurs!$E:$E,MATCH($A75,ref_indicateurs!$A:$A,0))&amp;"")</f>
        <v/>
      </c>
      <c r="E75" s="12">
        <f>IF($A75="","",INDEX(ref_indicateurs!$M:$M,MATCH($A75,ref_indicateurs!$A:$A,0))&amp;"")</f>
        <v/>
      </c>
      <c r="F75" s="12">
        <f>IF($A75="","",IF(INDEX(ref_indicateurs!$O:$O,MATCH($A75,ref_indicateurs!$A:$A,0))="","",INDEX(ref_indicateurs!$O:$O,MATCH($A75,ref_indicateurs!$A:$A,0))))</f>
        <v/>
      </c>
      <c r="G75" s="13">
        <f>IF($A75="","",SUMIFS(saisie_hebdo!$L:$L,saisie_hebdo!$I:$I,$A75))</f>
        <v/>
      </c>
      <c r="H75" s="13">
        <f>IF($A75="","",SUMIFS(saisie_hebdo!$M:$M,saisie_hebdo!$I:$I,$A75))</f>
        <v/>
      </c>
      <c r="I75" s="14">
        <f>IF(OR($A75="",L75=0),"",IF(D75="Pourcentage",IF(H75&gt;0,G75/H75*100,""),G75))</f>
        <v/>
      </c>
      <c r="J75" s="15">
        <f>IF(OR(I75="",F75="",F75=0),"",I75/F75)</f>
        <v/>
      </c>
      <c r="K75" s="12">
        <f>IF(OR($A75="",L75=0),"",IF(_xlfn.MAXIFS(saisie_hebdo!$C:$C,saisie_hebdo!$I:$I,$A75)=0,"",_xlfn.MAXIFS(saisie_hebdo!$C:$C,saisie_hebdo!$I:$I,$A75)))</f>
        <v/>
      </c>
      <c r="L75" s="12">
        <f>IF($A75="","",COUNTIFS(saisie_hebdo!$I:$I,$A75))</f>
        <v/>
      </c>
      <c r="M75" s="12">
        <f>IF($A75="","",IF(L75=0,"Non rapporté",IF(F75="","Suivi sans cible",IF(D75="Pourcentage",IF(I75&gt;=F75,"Cible atteinte","Sous la cible"),IF(J75&gt;=1,"Cible atteinte","En cours")))))</f>
        <v/>
      </c>
    </row>
    <row r="76">
      <c r="A76" s="12">
        <f>IFERROR(INDEX(ref_indicateurs!$A:$A,73)&amp;"","")</f>
        <v/>
      </c>
      <c r="B76" s="12">
        <f>IF($A76="","",INDEX(ref_indicateurs!$B:$B,MATCH($A76,ref_indicateurs!$A:$A,0))&amp;"")</f>
        <v/>
      </c>
      <c r="C76" s="12">
        <f>IF($A76="","",INDEX(ref_indicateurs!$C:$C,MATCH($A76,ref_indicateurs!$A:$A,0))&amp;"")</f>
        <v/>
      </c>
      <c r="D76" s="12">
        <f>IF($A76="","",INDEX(ref_indicateurs!$E:$E,MATCH($A76,ref_indicateurs!$A:$A,0))&amp;"")</f>
        <v/>
      </c>
      <c r="E76" s="12">
        <f>IF($A76="","",INDEX(ref_indicateurs!$M:$M,MATCH($A76,ref_indicateurs!$A:$A,0))&amp;"")</f>
        <v/>
      </c>
      <c r="F76" s="12">
        <f>IF($A76="","",IF(INDEX(ref_indicateurs!$O:$O,MATCH($A76,ref_indicateurs!$A:$A,0))="","",INDEX(ref_indicateurs!$O:$O,MATCH($A76,ref_indicateurs!$A:$A,0))))</f>
        <v/>
      </c>
      <c r="G76" s="13">
        <f>IF($A76="","",SUMIFS(saisie_hebdo!$L:$L,saisie_hebdo!$I:$I,$A76))</f>
        <v/>
      </c>
      <c r="H76" s="13">
        <f>IF($A76="","",SUMIFS(saisie_hebdo!$M:$M,saisie_hebdo!$I:$I,$A76))</f>
        <v/>
      </c>
      <c r="I76" s="14">
        <f>IF(OR($A76="",L76=0),"",IF(D76="Pourcentage",IF(H76&gt;0,G76/H76*100,""),G76))</f>
        <v/>
      </c>
      <c r="J76" s="15">
        <f>IF(OR(I76="",F76="",F76=0),"",I76/F76)</f>
        <v/>
      </c>
      <c r="K76" s="12">
        <f>IF(OR($A76="",L76=0),"",IF(_xlfn.MAXIFS(saisie_hebdo!$C:$C,saisie_hebdo!$I:$I,$A76)=0,"",_xlfn.MAXIFS(saisie_hebdo!$C:$C,saisie_hebdo!$I:$I,$A76)))</f>
        <v/>
      </c>
      <c r="L76" s="12">
        <f>IF($A76="","",COUNTIFS(saisie_hebdo!$I:$I,$A76))</f>
        <v/>
      </c>
      <c r="M76" s="12">
        <f>IF($A76="","",IF(L76=0,"Non rapporté",IF(F76="","Suivi sans cible",IF(D76="Pourcentage",IF(I76&gt;=F76,"Cible atteinte","Sous la cible"),IF(J76&gt;=1,"Cible atteinte","En cours")))))</f>
        <v/>
      </c>
    </row>
    <row r="77">
      <c r="A77" s="12">
        <f>IFERROR(INDEX(ref_indicateurs!$A:$A,74)&amp;"","")</f>
        <v/>
      </c>
      <c r="B77" s="12">
        <f>IF($A77="","",INDEX(ref_indicateurs!$B:$B,MATCH($A77,ref_indicateurs!$A:$A,0))&amp;"")</f>
        <v/>
      </c>
      <c r="C77" s="12">
        <f>IF($A77="","",INDEX(ref_indicateurs!$C:$C,MATCH($A77,ref_indicateurs!$A:$A,0))&amp;"")</f>
        <v/>
      </c>
      <c r="D77" s="12">
        <f>IF($A77="","",INDEX(ref_indicateurs!$E:$E,MATCH($A77,ref_indicateurs!$A:$A,0))&amp;"")</f>
        <v/>
      </c>
      <c r="E77" s="12">
        <f>IF($A77="","",INDEX(ref_indicateurs!$M:$M,MATCH($A77,ref_indicateurs!$A:$A,0))&amp;"")</f>
        <v/>
      </c>
      <c r="F77" s="12">
        <f>IF($A77="","",IF(INDEX(ref_indicateurs!$O:$O,MATCH($A77,ref_indicateurs!$A:$A,0))="","",INDEX(ref_indicateurs!$O:$O,MATCH($A77,ref_indicateurs!$A:$A,0))))</f>
        <v/>
      </c>
      <c r="G77" s="13">
        <f>IF($A77="","",SUMIFS(saisie_hebdo!$L:$L,saisie_hebdo!$I:$I,$A77))</f>
        <v/>
      </c>
      <c r="H77" s="13">
        <f>IF($A77="","",SUMIFS(saisie_hebdo!$M:$M,saisie_hebdo!$I:$I,$A77))</f>
        <v/>
      </c>
      <c r="I77" s="14">
        <f>IF(OR($A77="",L77=0),"",IF(D77="Pourcentage",IF(H77&gt;0,G77/H77*100,""),G77))</f>
        <v/>
      </c>
      <c r="J77" s="15">
        <f>IF(OR(I77="",F77="",F77=0),"",I77/F77)</f>
        <v/>
      </c>
      <c r="K77" s="12">
        <f>IF(OR($A77="",L77=0),"",IF(_xlfn.MAXIFS(saisie_hebdo!$C:$C,saisie_hebdo!$I:$I,$A77)=0,"",_xlfn.MAXIFS(saisie_hebdo!$C:$C,saisie_hebdo!$I:$I,$A77)))</f>
        <v/>
      </c>
      <c r="L77" s="12">
        <f>IF($A77="","",COUNTIFS(saisie_hebdo!$I:$I,$A77))</f>
        <v/>
      </c>
      <c r="M77" s="12">
        <f>IF($A77="","",IF(L77=0,"Non rapporté",IF(F77="","Suivi sans cible",IF(D77="Pourcentage",IF(I77&gt;=F77,"Cible atteinte","Sous la cible"),IF(J77&gt;=1,"Cible atteinte","En cours")))))</f>
        <v/>
      </c>
    </row>
    <row r="78">
      <c r="A78" s="12">
        <f>IFERROR(INDEX(ref_indicateurs!$A:$A,75)&amp;"","")</f>
        <v/>
      </c>
      <c r="B78" s="12">
        <f>IF($A78="","",INDEX(ref_indicateurs!$B:$B,MATCH($A78,ref_indicateurs!$A:$A,0))&amp;"")</f>
        <v/>
      </c>
      <c r="C78" s="12">
        <f>IF($A78="","",INDEX(ref_indicateurs!$C:$C,MATCH($A78,ref_indicateurs!$A:$A,0))&amp;"")</f>
        <v/>
      </c>
      <c r="D78" s="12">
        <f>IF($A78="","",INDEX(ref_indicateurs!$E:$E,MATCH($A78,ref_indicateurs!$A:$A,0))&amp;"")</f>
        <v/>
      </c>
      <c r="E78" s="12">
        <f>IF($A78="","",INDEX(ref_indicateurs!$M:$M,MATCH($A78,ref_indicateurs!$A:$A,0))&amp;"")</f>
        <v/>
      </c>
      <c r="F78" s="12">
        <f>IF($A78="","",IF(INDEX(ref_indicateurs!$O:$O,MATCH($A78,ref_indicateurs!$A:$A,0))="","",INDEX(ref_indicateurs!$O:$O,MATCH($A78,ref_indicateurs!$A:$A,0))))</f>
        <v/>
      </c>
      <c r="G78" s="13">
        <f>IF($A78="","",SUMIFS(saisie_hebdo!$L:$L,saisie_hebdo!$I:$I,$A78))</f>
        <v/>
      </c>
      <c r="H78" s="13">
        <f>IF($A78="","",SUMIFS(saisie_hebdo!$M:$M,saisie_hebdo!$I:$I,$A78))</f>
        <v/>
      </c>
      <c r="I78" s="14">
        <f>IF(OR($A78="",L78=0),"",IF(D78="Pourcentage",IF(H78&gt;0,G78/H78*100,""),G78))</f>
        <v/>
      </c>
      <c r="J78" s="15">
        <f>IF(OR(I78="",F78="",F78=0),"",I78/F78)</f>
        <v/>
      </c>
      <c r="K78" s="12">
        <f>IF(OR($A78="",L78=0),"",IF(_xlfn.MAXIFS(saisie_hebdo!$C:$C,saisie_hebdo!$I:$I,$A78)=0,"",_xlfn.MAXIFS(saisie_hebdo!$C:$C,saisie_hebdo!$I:$I,$A78)))</f>
        <v/>
      </c>
      <c r="L78" s="12">
        <f>IF($A78="","",COUNTIFS(saisie_hebdo!$I:$I,$A78))</f>
        <v/>
      </c>
      <c r="M78" s="12">
        <f>IF($A78="","",IF(L78=0,"Non rapporté",IF(F78="","Suivi sans cible",IF(D78="Pourcentage",IF(I78&gt;=F78,"Cible atteinte","Sous la cible"),IF(J78&gt;=1,"Cible atteinte","En cours")))))</f>
        <v/>
      </c>
    </row>
    <row r="79">
      <c r="A79" s="12">
        <f>IFERROR(INDEX(ref_indicateurs!$A:$A,76)&amp;"","")</f>
        <v/>
      </c>
      <c r="B79" s="12">
        <f>IF($A79="","",INDEX(ref_indicateurs!$B:$B,MATCH($A79,ref_indicateurs!$A:$A,0))&amp;"")</f>
        <v/>
      </c>
      <c r="C79" s="12">
        <f>IF($A79="","",INDEX(ref_indicateurs!$C:$C,MATCH($A79,ref_indicateurs!$A:$A,0))&amp;"")</f>
        <v/>
      </c>
      <c r="D79" s="12">
        <f>IF($A79="","",INDEX(ref_indicateurs!$E:$E,MATCH($A79,ref_indicateurs!$A:$A,0))&amp;"")</f>
        <v/>
      </c>
      <c r="E79" s="12">
        <f>IF($A79="","",INDEX(ref_indicateurs!$M:$M,MATCH($A79,ref_indicateurs!$A:$A,0))&amp;"")</f>
        <v/>
      </c>
      <c r="F79" s="12">
        <f>IF($A79="","",IF(INDEX(ref_indicateurs!$O:$O,MATCH($A79,ref_indicateurs!$A:$A,0))="","",INDEX(ref_indicateurs!$O:$O,MATCH($A79,ref_indicateurs!$A:$A,0))))</f>
        <v/>
      </c>
      <c r="G79" s="13">
        <f>IF($A79="","",SUMIFS(saisie_hebdo!$L:$L,saisie_hebdo!$I:$I,$A79))</f>
        <v/>
      </c>
      <c r="H79" s="13">
        <f>IF($A79="","",SUMIFS(saisie_hebdo!$M:$M,saisie_hebdo!$I:$I,$A79))</f>
        <v/>
      </c>
      <c r="I79" s="14">
        <f>IF(OR($A79="",L79=0),"",IF(D79="Pourcentage",IF(H79&gt;0,G79/H79*100,""),G79))</f>
        <v/>
      </c>
      <c r="J79" s="15">
        <f>IF(OR(I79="",F79="",F79=0),"",I79/F79)</f>
        <v/>
      </c>
      <c r="K79" s="12">
        <f>IF(OR($A79="",L79=0),"",IF(_xlfn.MAXIFS(saisie_hebdo!$C:$C,saisie_hebdo!$I:$I,$A79)=0,"",_xlfn.MAXIFS(saisie_hebdo!$C:$C,saisie_hebdo!$I:$I,$A79)))</f>
        <v/>
      </c>
      <c r="L79" s="12">
        <f>IF($A79="","",COUNTIFS(saisie_hebdo!$I:$I,$A79))</f>
        <v/>
      </c>
      <c r="M79" s="12">
        <f>IF($A79="","",IF(L79=0,"Non rapporté",IF(F79="","Suivi sans cible",IF(D79="Pourcentage",IF(I79&gt;=F79,"Cible atteinte","Sous la cible"),IF(J79&gt;=1,"Cible atteinte","En cours")))))</f>
        <v/>
      </c>
    </row>
    <row r="80">
      <c r="A80" s="12">
        <f>IFERROR(INDEX(ref_indicateurs!$A:$A,77)&amp;"","")</f>
        <v/>
      </c>
      <c r="B80" s="12">
        <f>IF($A80="","",INDEX(ref_indicateurs!$B:$B,MATCH($A80,ref_indicateurs!$A:$A,0))&amp;"")</f>
        <v/>
      </c>
      <c r="C80" s="12">
        <f>IF($A80="","",INDEX(ref_indicateurs!$C:$C,MATCH($A80,ref_indicateurs!$A:$A,0))&amp;"")</f>
        <v/>
      </c>
      <c r="D80" s="12">
        <f>IF($A80="","",INDEX(ref_indicateurs!$E:$E,MATCH($A80,ref_indicateurs!$A:$A,0))&amp;"")</f>
        <v/>
      </c>
      <c r="E80" s="12">
        <f>IF($A80="","",INDEX(ref_indicateurs!$M:$M,MATCH($A80,ref_indicateurs!$A:$A,0))&amp;"")</f>
        <v/>
      </c>
      <c r="F80" s="12">
        <f>IF($A80="","",IF(INDEX(ref_indicateurs!$O:$O,MATCH($A80,ref_indicateurs!$A:$A,0))="","",INDEX(ref_indicateurs!$O:$O,MATCH($A80,ref_indicateurs!$A:$A,0))))</f>
        <v/>
      </c>
      <c r="G80" s="13">
        <f>IF($A80="","",SUMIFS(saisie_hebdo!$L:$L,saisie_hebdo!$I:$I,$A80))</f>
        <v/>
      </c>
      <c r="H80" s="13">
        <f>IF($A80="","",SUMIFS(saisie_hebdo!$M:$M,saisie_hebdo!$I:$I,$A80))</f>
        <v/>
      </c>
      <c r="I80" s="14">
        <f>IF(OR($A80="",L80=0),"",IF(D80="Pourcentage",IF(H80&gt;0,G80/H80*100,""),G80))</f>
        <v/>
      </c>
      <c r="J80" s="15">
        <f>IF(OR(I80="",F80="",F80=0),"",I80/F80)</f>
        <v/>
      </c>
      <c r="K80" s="12">
        <f>IF(OR($A80="",L80=0),"",IF(_xlfn.MAXIFS(saisie_hebdo!$C:$C,saisie_hebdo!$I:$I,$A80)=0,"",_xlfn.MAXIFS(saisie_hebdo!$C:$C,saisie_hebdo!$I:$I,$A80)))</f>
        <v/>
      </c>
      <c r="L80" s="12">
        <f>IF($A80="","",COUNTIFS(saisie_hebdo!$I:$I,$A80))</f>
        <v/>
      </c>
      <c r="M80" s="12">
        <f>IF($A80="","",IF(L80=0,"Non rapporté",IF(F80="","Suivi sans cible",IF(D80="Pourcentage",IF(I80&gt;=F80,"Cible atteinte","Sous la cible"),IF(J80&gt;=1,"Cible atteinte","En cours")))))</f>
        <v/>
      </c>
    </row>
    <row r="81">
      <c r="A81" s="12">
        <f>IFERROR(INDEX(ref_indicateurs!$A:$A,78)&amp;"","")</f>
        <v/>
      </c>
      <c r="B81" s="12">
        <f>IF($A81="","",INDEX(ref_indicateurs!$B:$B,MATCH($A81,ref_indicateurs!$A:$A,0))&amp;"")</f>
        <v/>
      </c>
      <c r="C81" s="12">
        <f>IF($A81="","",INDEX(ref_indicateurs!$C:$C,MATCH($A81,ref_indicateurs!$A:$A,0))&amp;"")</f>
        <v/>
      </c>
      <c r="D81" s="12">
        <f>IF($A81="","",INDEX(ref_indicateurs!$E:$E,MATCH($A81,ref_indicateurs!$A:$A,0))&amp;"")</f>
        <v/>
      </c>
      <c r="E81" s="12">
        <f>IF($A81="","",INDEX(ref_indicateurs!$M:$M,MATCH($A81,ref_indicateurs!$A:$A,0))&amp;"")</f>
        <v/>
      </c>
      <c r="F81" s="12">
        <f>IF($A81="","",IF(INDEX(ref_indicateurs!$O:$O,MATCH($A81,ref_indicateurs!$A:$A,0))="","",INDEX(ref_indicateurs!$O:$O,MATCH($A81,ref_indicateurs!$A:$A,0))))</f>
        <v/>
      </c>
      <c r="G81" s="13">
        <f>IF($A81="","",SUMIFS(saisie_hebdo!$L:$L,saisie_hebdo!$I:$I,$A81))</f>
        <v/>
      </c>
      <c r="H81" s="13">
        <f>IF($A81="","",SUMIFS(saisie_hebdo!$M:$M,saisie_hebdo!$I:$I,$A81))</f>
        <v/>
      </c>
      <c r="I81" s="14">
        <f>IF(OR($A81="",L81=0),"",IF(D81="Pourcentage",IF(H81&gt;0,G81/H81*100,""),G81))</f>
        <v/>
      </c>
      <c r="J81" s="15">
        <f>IF(OR(I81="",F81="",F81=0),"",I81/F81)</f>
        <v/>
      </c>
      <c r="K81" s="12">
        <f>IF(OR($A81="",L81=0),"",IF(_xlfn.MAXIFS(saisie_hebdo!$C:$C,saisie_hebdo!$I:$I,$A81)=0,"",_xlfn.MAXIFS(saisie_hebdo!$C:$C,saisie_hebdo!$I:$I,$A81)))</f>
        <v/>
      </c>
      <c r="L81" s="12">
        <f>IF($A81="","",COUNTIFS(saisie_hebdo!$I:$I,$A81))</f>
        <v/>
      </c>
      <c r="M81" s="12">
        <f>IF($A81="","",IF(L81=0,"Non rapporté",IF(F81="","Suivi sans cible",IF(D81="Pourcentage",IF(I81&gt;=F81,"Cible atteinte","Sous la cible"),IF(J81&gt;=1,"Cible atteinte","En cours")))))</f>
        <v/>
      </c>
    </row>
    <row r="82">
      <c r="A82" s="12">
        <f>IFERROR(INDEX(ref_indicateurs!$A:$A,79)&amp;"","")</f>
        <v/>
      </c>
      <c r="B82" s="12">
        <f>IF($A82="","",INDEX(ref_indicateurs!$B:$B,MATCH($A82,ref_indicateurs!$A:$A,0))&amp;"")</f>
        <v/>
      </c>
      <c r="C82" s="12">
        <f>IF($A82="","",INDEX(ref_indicateurs!$C:$C,MATCH($A82,ref_indicateurs!$A:$A,0))&amp;"")</f>
        <v/>
      </c>
      <c r="D82" s="12">
        <f>IF($A82="","",INDEX(ref_indicateurs!$E:$E,MATCH($A82,ref_indicateurs!$A:$A,0))&amp;"")</f>
        <v/>
      </c>
      <c r="E82" s="12">
        <f>IF($A82="","",INDEX(ref_indicateurs!$M:$M,MATCH($A82,ref_indicateurs!$A:$A,0))&amp;"")</f>
        <v/>
      </c>
      <c r="F82" s="12">
        <f>IF($A82="","",IF(INDEX(ref_indicateurs!$O:$O,MATCH($A82,ref_indicateurs!$A:$A,0))="","",INDEX(ref_indicateurs!$O:$O,MATCH($A82,ref_indicateurs!$A:$A,0))))</f>
        <v/>
      </c>
      <c r="G82" s="13">
        <f>IF($A82="","",SUMIFS(saisie_hebdo!$L:$L,saisie_hebdo!$I:$I,$A82))</f>
        <v/>
      </c>
      <c r="H82" s="13">
        <f>IF($A82="","",SUMIFS(saisie_hebdo!$M:$M,saisie_hebdo!$I:$I,$A82))</f>
        <v/>
      </c>
      <c r="I82" s="14">
        <f>IF(OR($A82="",L82=0),"",IF(D82="Pourcentage",IF(H82&gt;0,G82/H82*100,""),G82))</f>
        <v/>
      </c>
      <c r="J82" s="15">
        <f>IF(OR(I82="",F82="",F82=0),"",I82/F82)</f>
        <v/>
      </c>
      <c r="K82" s="12">
        <f>IF(OR($A82="",L82=0),"",IF(_xlfn.MAXIFS(saisie_hebdo!$C:$C,saisie_hebdo!$I:$I,$A82)=0,"",_xlfn.MAXIFS(saisie_hebdo!$C:$C,saisie_hebdo!$I:$I,$A82)))</f>
        <v/>
      </c>
      <c r="L82" s="12">
        <f>IF($A82="","",COUNTIFS(saisie_hebdo!$I:$I,$A82))</f>
        <v/>
      </c>
      <c r="M82" s="12">
        <f>IF($A82="","",IF(L82=0,"Non rapporté",IF(F82="","Suivi sans cible",IF(D82="Pourcentage",IF(I82&gt;=F82,"Cible atteinte","Sous la cible"),IF(J82&gt;=1,"Cible atteinte","En cours")))))</f>
        <v/>
      </c>
    </row>
    <row r="83">
      <c r="A83" s="12">
        <f>IFERROR(INDEX(ref_indicateurs!$A:$A,80)&amp;"","")</f>
        <v/>
      </c>
      <c r="B83" s="12">
        <f>IF($A83="","",INDEX(ref_indicateurs!$B:$B,MATCH($A83,ref_indicateurs!$A:$A,0))&amp;"")</f>
        <v/>
      </c>
      <c r="C83" s="12">
        <f>IF($A83="","",INDEX(ref_indicateurs!$C:$C,MATCH($A83,ref_indicateurs!$A:$A,0))&amp;"")</f>
        <v/>
      </c>
      <c r="D83" s="12">
        <f>IF($A83="","",INDEX(ref_indicateurs!$E:$E,MATCH($A83,ref_indicateurs!$A:$A,0))&amp;"")</f>
        <v/>
      </c>
      <c r="E83" s="12">
        <f>IF($A83="","",INDEX(ref_indicateurs!$M:$M,MATCH($A83,ref_indicateurs!$A:$A,0))&amp;"")</f>
        <v/>
      </c>
      <c r="F83" s="12">
        <f>IF($A83="","",IF(INDEX(ref_indicateurs!$O:$O,MATCH($A83,ref_indicateurs!$A:$A,0))="","",INDEX(ref_indicateurs!$O:$O,MATCH($A83,ref_indicateurs!$A:$A,0))))</f>
        <v/>
      </c>
      <c r="G83" s="13">
        <f>IF($A83="","",SUMIFS(saisie_hebdo!$L:$L,saisie_hebdo!$I:$I,$A83))</f>
        <v/>
      </c>
      <c r="H83" s="13">
        <f>IF($A83="","",SUMIFS(saisie_hebdo!$M:$M,saisie_hebdo!$I:$I,$A83))</f>
        <v/>
      </c>
      <c r="I83" s="14">
        <f>IF(OR($A83="",L83=0),"",IF(D83="Pourcentage",IF(H83&gt;0,G83/H83*100,""),G83))</f>
        <v/>
      </c>
      <c r="J83" s="15">
        <f>IF(OR(I83="",F83="",F83=0),"",I83/F83)</f>
        <v/>
      </c>
      <c r="K83" s="12">
        <f>IF(OR($A83="",L83=0),"",IF(_xlfn.MAXIFS(saisie_hebdo!$C:$C,saisie_hebdo!$I:$I,$A83)=0,"",_xlfn.MAXIFS(saisie_hebdo!$C:$C,saisie_hebdo!$I:$I,$A83)))</f>
        <v/>
      </c>
      <c r="L83" s="12">
        <f>IF($A83="","",COUNTIFS(saisie_hebdo!$I:$I,$A83))</f>
        <v/>
      </c>
      <c r="M83" s="12">
        <f>IF($A83="","",IF(L83=0,"Non rapporté",IF(F83="","Suivi sans cible",IF(D83="Pourcentage",IF(I83&gt;=F83,"Cible atteinte","Sous la cible"),IF(J83&gt;=1,"Cible atteinte","En cours")))))</f>
        <v/>
      </c>
    </row>
    <row r="84">
      <c r="A84" s="12">
        <f>IFERROR(INDEX(ref_indicateurs!$A:$A,81)&amp;"","")</f>
        <v/>
      </c>
      <c r="B84" s="12">
        <f>IF($A84="","",INDEX(ref_indicateurs!$B:$B,MATCH($A84,ref_indicateurs!$A:$A,0))&amp;"")</f>
        <v/>
      </c>
      <c r="C84" s="12">
        <f>IF($A84="","",INDEX(ref_indicateurs!$C:$C,MATCH($A84,ref_indicateurs!$A:$A,0))&amp;"")</f>
        <v/>
      </c>
      <c r="D84" s="12">
        <f>IF($A84="","",INDEX(ref_indicateurs!$E:$E,MATCH($A84,ref_indicateurs!$A:$A,0))&amp;"")</f>
        <v/>
      </c>
      <c r="E84" s="12">
        <f>IF($A84="","",INDEX(ref_indicateurs!$M:$M,MATCH($A84,ref_indicateurs!$A:$A,0))&amp;"")</f>
        <v/>
      </c>
      <c r="F84" s="12">
        <f>IF($A84="","",IF(INDEX(ref_indicateurs!$O:$O,MATCH($A84,ref_indicateurs!$A:$A,0))="","",INDEX(ref_indicateurs!$O:$O,MATCH($A84,ref_indicateurs!$A:$A,0))))</f>
        <v/>
      </c>
      <c r="G84" s="13">
        <f>IF($A84="","",SUMIFS(saisie_hebdo!$L:$L,saisie_hebdo!$I:$I,$A84))</f>
        <v/>
      </c>
      <c r="H84" s="13">
        <f>IF($A84="","",SUMIFS(saisie_hebdo!$M:$M,saisie_hebdo!$I:$I,$A84))</f>
        <v/>
      </c>
      <c r="I84" s="14">
        <f>IF(OR($A84="",L84=0),"",IF(D84="Pourcentage",IF(H84&gt;0,G84/H84*100,""),G84))</f>
        <v/>
      </c>
      <c r="J84" s="15">
        <f>IF(OR(I84="",F84="",F84=0),"",I84/F84)</f>
        <v/>
      </c>
      <c r="K84" s="12">
        <f>IF(OR($A84="",L84=0),"",IF(_xlfn.MAXIFS(saisie_hebdo!$C:$C,saisie_hebdo!$I:$I,$A84)=0,"",_xlfn.MAXIFS(saisie_hebdo!$C:$C,saisie_hebdo!$I:$I,$A84)))</f>
        <v/>
      </c>
      <c r="L84" s="12">
        <f>IF($A84="","",COUNTIFS(saisie_hebdo!$I:$I,$A84))</f>
        <v/>
      </c>
      <c r="M84" s="12">
        <f>IF($A84="","",IF(L84=0,"Non rapporté",IF(F84="","Suivi sans cible",IF(D84="Pourcentage",IF(I84&gt;=F84,"Cible atteinte","Sous la cible"),IF(J84&gt;=1,"Cible atteinte","En cours")))))</f>
        <v/>
      </c>
    </row>
    <row r="85">
      <c r="A85" s="12">
        <f>IFERROR(INDEX(ref_indicateurs!$A:$A,82)&amp;"","")</f>
        <v/>
      </c>
      <c r="B85" s="12">
        <f>IF($A85="","",INDEX(ref_indicateurs!$B:$B,MATCH($A85,ref_indicateurs!$A:$A,0))&amp;"")</f>
        <v/>
      </c>
      <c r="C85" s="12">
        <f>IF($A85="","",INDEX(ref_indicateurs!$C:$C,MATCH($A85,ref_indicateurs!$A:$A,0))&amp;"")</f>
        <v/>
      </c>
      <c r="D85" s="12">
        <f>IF($A85="","",INDEX(ref_indicateurs!$E:$E,MATCH($A85,ref_indicateurs!$A:$A,0))&amp;"")</f>
        <v/>
      </c>
      <c r="E85" s="12">
        <f>IF($A85="","",INDEX(ref_indicateurs!$M:$M,MATCH($A85,ref_indicateurs!$A:$A,0))&amp;"")</f>
        <v/>
      </c>
      <c r="F85" s="12">
        <f>IF($A85="","",IF(INDEX(ref_indicateurs!$O:$O,MATCH($A85,ref_indicateurs!$A:$A,0))="","",INDEX(ref_indicateurs!$O:$O,MATCH($A85,ref_indicateurs!$A:$A,0))))</f>
        <v/>
      </c>
      <c r="G85" s="13">
        <f>IF($A85="","",SUMIFS(saisie_hebdo!$L:$L,saisie_hebdo!$I:$I,$A85))</f>
        <v/>
      </c>
      <c r="H85" s="13">
        <f>IF($A85="","",SUMIFS(saisie_hebdo!$M:$M,saisie_hebdo!$I:$I,$A85))</f>
        <v/>
      </c>
      <c r="I85" s="14">
        <f>IF(OR($A85="",L85=0),"",IF(D85="Pourcentage",IF(H85&gt;0,G85/H85*100,""),G85))</f>
        <v/>
      </c>
      <c r="J85" s="15">
        <f>IF(OR(I85="",F85="",F85=0),"",I85/F85)</f>
        <v/>
      </c>
      <c r="K85" s="12">
        <f>IF(OR($A85="",L85=0),"",IF(_xlfn.MAXIFS(saisie_hebdo!$C:$C,saisie_hebdo!$I:$I,$A85)=0,"",_xlfn.MAXIFS(saisie_hebdo!$C:$C,saisie_hebdo!$I:$I,$A85)))</f>
        <v/>
      </c>
      <c r="L85" s="12">
        <f>IF($A85="","",COUNTIFS(saisie_hebdo!$I:$I,$A85))</f>
        <v/>
      </c>
      <c r="M85" s="12">
        <f>IF($A85="","",IF(L85=0,"Non rapporté",IF(F85="","Suivi sans cible",IF(D85="Pourcentage",IF(I85&gt;=F85,"Cible atteinte","Sous la cible"),IF(J85&gt;=1,"Cible atteinte","En cours")))))</f>
        <v/>
      </c>
    </row>
    <row r="86">
      <c r="A86" s="12">
        <f>IFERROR(INDEX(ref_indicateurs!$A:$A,83)&amp;"","")</f>
        <v/>
      </c>
      <c r="B86" s="12">
        <f>IF($A86="","",INDEX(ref_indicateurs!$B:$B,MATCH($A86,ref_indicateurs!$A:$A,0))&amp;"")</f>
        <v/>
      </c>
      <c r="C86" s="12">
        <f>IF($A86="","",INDEX(ref_indicateurs!$C:$C,MATCH($A86,ref_indicateurs!$A:$A,0))&amp;"")</f>
        <v/>
      </c>
      <c r="D86" s="12">
        <f>IF($A86="","",INDEX(ref_indicateurs!$E:$E,MATCH($A86,ref_indicateurs!$A:$A,0))&amp;"")</f>
        <v/>
      </c>
      <c r="E86" s="12">
        <f>IF($A86="","",INDEX(ref_indicateurs!$M:$M,MATCH($A86,ref_indicateurs!$A:$A,0))&amp;"")</f>
        <v/>
      </c>
      <c r="F86" s="12">
        <f>IF($A86="","",IF(INDEX(ref_indicateurs!$O:$O,MATCH($A86,ref_indicateurs!$A:$A,0))="","",INDEX(ref_indicateurs!$O:$O,MATCH($A86,ref_indicateurs!$A:$A,0))))</f>
        <v/>
      </c>
      <c r="G86" s="13">
        <f>IF($A86="","",SUMIFS(saisie_hebdo!$L:$L,saisie_hebdo!$I:$I,$A86))</f>
        <v/>
      </c>
      <c r="H86" s="13">
        <f>IF($A86="","",SUMIFS(saisie_hebdo!$M:$M,saisie_hebdo!$I:$I,$A86))</f>
        <v/>
      </c>
      <c r="I86" s="14">
        <f>IF(OR($A86="",L86=0),"",IF(D86="Pourcentage",IF(H86&gt;0,G86/H86*100,""),G86))</f>
        <v/>
      </c>
      <c r="J86" s="15">
        <f>IF(OR(I86="",F86="",F86=0),"",I86/F86)</f>
        <v/>
      </c>
      <c r="K86" s="12">
        <f>IF(OR($A86="",L86=0),"",IF(_xlfn.MAXIFS(saisie_hebdo!$C:$C,saisie_hebdo!$I:$I,$A86)=0,"",_xlfn.MAXIFS(saisie_hebdo!$C:$C,saisie_hebdo!$I:$I,$A86)))</f>
        <v/>
      </c>
      <c r="L86" s="12">
        <f>IF($A86="","",COUNTIFS(saisie_hebdo!$I:$I,$A86))</f>
        <v/>
      </c>
      <c r="M86" s="12">
        <f>IF($A86="","",IF(L86=0,"Non rapporté",IF(F86="","Suivi sans cible",IF(D86="Pourcentage",IF(I86&gt;=F86,"Cible atteinte","Sous la cible"),IF(J86&gt;=1,"Cible atteinte","En cours")))))</f>
        <v/>
      </c>
    </row>
    <row r="87">
      <c r="A87" s="12">
        <f>IFERROR(INDEX(ref_indicateurs!$A:$A,84)&amp;"","")</f>
        <v/>
      </c>
      <c r="B87" s="12">
        <f>IF($A87="","",INDEX(ref_indicateurs!$B:$B,MATCH($A87,ref_indicateurs!$A:$A,0))&amp;"")</f>
        <v/>
      </c>
      <c r="C87" s="12">
        <f>IF($A87="","",INDEX(ref_indicateurs!$C:$C,MATCH($A87,ref_indicateurs!$A:$A,0))&amp;"")</f>
        <v/>
      </c>
      <c r="D87" s="12">
        <f>IF($A87="","",INDEX(ref_indicateurs!$E:$E,MATCH($A87,ref_indicateurs!$A:$A,0))&amp;"")</f>
        <v/>
      </c>
      <c r="E87" s="12">
        <f>IF($A87="","",INDEX(ref_indicateurs!$M:$M,MATCH($A87,ref_indicateurs!$A:$A,0))&amp;"")</f>
        <v/>
      </c>
      <c r="F87" s="12">
        <f>IF($A87="","",IF(INDEX(ref_indicateurs!$O:$O,MATCH($A87,ref_indicateurs!$A:$A,0))="","",INDEX(ref_indicateurs!$O:$O,MATCH($A87,ref_indicateurs!$A:$A,0))))</f>
        <v/>
      </c>
      <c r="G87" s="13">
        <f>IF($A87="","",SUMIFS(saisie_hebdo!$L:$L,saisie_hebdo!$I:$I,$A87))</f>
        <v/>
      </c>
      <c r="H87" s="13">
        <f>IF($A87="","",SUMIFS(saisie_hebdo!$M:$M,saisie_hebdo!$I:$I,$A87))</f>
        <v/>
      </c>
      <c r="I87" s="14">
        <f>IF(OR($A87="",L87=0),"",IF(D87="Pourcentage",IF(H87&gt;0,G87/H87*100,""),G87))</f>
        <v/>
      </c>
      <c r="J87" s="15">
        <f>IF(OR(I87="",F87="",F87=0),"",I87/F87)</f>
        <v/>
      </c>
      <c r="K87" s="12">
        <f>IF(OR($A87="",L87=0),"",IF(_xlfn.MAXIFS(saisie_hebdo!$C:$C,saisie_hebdo!$I:$I,$A87)=0,"",_xlfn.MAXIFS(saisie_hebdo!$C:$C,saisie_hebdo!$I:$I,$A87)))</f>
        <v/>
      </c>
      <c r="L87" s="12">
        <f>IF($A87="","",COUNTIFS(saisie_hebdo!$I:$I,$A87))</f>
        <v/>
      </c>
      <c r="M87" s="12">
        <f>IF($A87="","",IF(L87=0,"Non rapporté",IF(F87="","Suivi sans cible",IF(D87="Pourcentage",IF(I87&gt;=F87,"Cible atteinte","Sous la cible"),IF(J87&gt;=1,"Cible atteinte","En cours")))))</f>
        <v/>
      </c>
    </row>
    <row r="88">
      <c r="A88" s="12">
        <f>IFERROR(INDEX(ref_indicateurs!$A:$A,85)&amp;"","")</f>
        <v/>
      </c>
      <c r="B88" s="12">
        <f>IF($A88="","",INDEX(ref_indicateurs!$B:$B,MATCH($A88,ref_indicateurs!$A:$A,0))&amp;"")</f>
        <v/>
      </c>
      <c r="C88" s="12">
        <f>IF($A88="","",INDEX(ref_indicateurs!$C:$C,MATCH($A88,ref_indicateurs!$A:$A,0))&amp;"")</f>
        <v/>
      </c>
      <c r="D88" s="12">
        <f>IF($A88="","",INDEX(ref_indicateurs!$E:$E,MATCH($A88,ref_indicateurs!$A:$A,0))&amp;"")</f>
        <v/>
      </c>
      <c r="E88" s="12">
        <f>IF($A88="","",INDEX(ref_indicateurs!$M:$M,MATCH($A88,ref_indicateurs!$A:$A,0))&amp;"")</f>
        <v/>
      </c>
      <c r="F88" s="12">
        <f>IF($A88="","",IF(INDEX(ref_indicateurs!$O:$O,MATCH($A88,ref_indicateurs!$A:$A,0))="","",INDEX(ref_indicateurs!$O:$O,MATCH($A88,ref_indicateurs!$A:$A,0))))</f>
        <v/>
      </c>
      <c r="G88" s="13">
        <f>IF($A88="","",SUMIFS(saisie_hebdo!$L:$L,saisie_hebdo!$I:$I,$A88))</f>
        <v/>
      </c>
      <c r="H88" s="13">
        <f>IF($A88="","",SUMIFS(saisie_hebdo!$M:$M,saisie_hebdo!$I:$I,$A88))</f>
        <v/>
      </c>
      <c r="I88" s="14">
        <f>IF(OR($A88="",L88=0),"",IF(D88="Pourcentage",IF(H88&gt;0,G88/H88*100,""),G88))</f>
        <v/>
      </c>
      <c r="J88" s="15">
        <f>IF(OR(I88="",F88="",F88=0),"",I88/F88)</f>
        <v/>
      </c>
      <c r="K88" s="12">
        <f>IF(OR($A88="",L88=0),"",IF(_xlfn.MAXIFS(saisie_hebdo!$C:$C,saisie_hebdo!$I:$I,$A88)=0,"",_xlfn.MAXIFS(saisie_hebdo!$C:$C,saisie_hebdo!$I:$I,$A88)))</f>
        <v/>
      </c>
      <c r="L88" s="12">
        <f>IF($A88="","",COUNTIFS(saisie_hebdo!$I:$I,$A88))</f>
        <v/>
      </c>
      <c r="M88" s="12">
        <f>IF($A88="","",IF(L88=0,"Non rapporté",IF(F88="","Suivi sans cible",IF(D88="Pourcentage",IF(I88&gt;=F88,"Cible atteinte","Sous la cible"),IF(J88&gt;=1,"Cible atteinte","En cours")))))</f>
        <v/>
      </c>
    </row>
    <row r="89">
      <c r="A89" s="12">
        <f>IFERROR(INDEX(ref_indicateurs!$A:$A,86)&amp;"","")</f>
        <v/>
      </c>
      <c r="B89" s="12">
        <f>IF($A89="","",INDEX(ref_indicateurs!$B:$B,MATCH($A89,ref_indicateurs!$A:$A,0))&amp;"")</f>
        <v/>
      </c>
      <c r="C89" s="12">
        <f>IF($A89="","",INDEX(ref_indicateurs!$C:$C,MATCH($A89,ref_indicateurs!$A:$A,0))&amp;"")</f>
        <v/>
      </c>
      <c r="D89" s="12">
        <f>IF($A89="","",INDEX(ref_indicateurs!$E:$E,MATCH($A89,ref_indicateurs!$A:$A,0))&amp;"")</f>
        <v/>
      </c>
      <c r="E89" s="12">
        <f>IF($A89="","",INDEX(ref_indicateurs!$M:$M,MATCH($A89,ref_indicateurs!$A:$A,0))&amp;"")</f>
        <v/>
      </c>
      <c r="F89" s="12">
        <f>IF($A89="","",IF(INDEX(ref_indicateurs!$O:$O,MATCH($A89,ref_indicateurs!$A:$A,0))="","",INDEX(ref_indicateurs!$O:$O,MATCH($A89,ref_indicateurs!$A:$A,0))))</f>
        <v/>
      </c>
      <c r="G89" s="13">
        <f>IF($A89="","",SUMIFS(saisie_hebdo!$L:$L,saisie_hebdo!$I:$I,$A89))</f>
        <v/>
      </c>
      <c r="H89" s="13">
        <f>IF($A89="","",SUMIFS(saisie_hebdo!$M:$M,saisie_hebdo!$I:$I,$A89))</f>
        <v/>
      </c>
      <c r="I89" s="14">
        <f>IF(OR($A89="",L89=0),"",IF(D89="Pourcentage",IF(H89&gt;0,G89/H89*100,""),G89))</f>
        <v/>
      </c>
      <c r="J89" s="15">
        <f>IF(OR(I89="",F89="",F89=0),"",I89/F89)</f>
        <v/>
      </c>
      <c r="K89" s="12">
        <f>IF(OR($A89="",L89=0),"",IF(_xlfn.MAXIFS(saisie_hebdo!$C:$C,saisie_hebdo!$I:$I,$A89)=0,"",_xlfn.MAXIFS(saisie_hebdo!$C:$C,saisie_hebdo!$I:$I,$A89)))</f>
        <v/>
      </c>
      <c r="L89" s="12">
        <f>IF($A89="","",COUNTIFS(saisie_hebdo!$I:$I,$A89))</f>
        <v/>
      </c>
      <c r="M89" s="12">
        <f>IF($A89="","",IF(L89=0,"Non rapporté",IF(F89="","Suivi sans cible",IF(D89="Pourcentage",IF(I89&gt;=F89,"Cible atteinte","Sous la cible"),IF(J89&gt;=1,"Cible atteinte","En cours")))))</f>
        <v/>
      </c>
    </row>
    <row r="90">
      <c r="A90" s="12">
        <f>IFERROR(INDEX(ref_indicateurs!$A:$A,87)&amp;"","")</f>
        <v/>
      </c>
      <c r="B90" s="12">
        <f>IF($A90="","",INDEX(ref_indicateurs!$B:$B,MATCH($A90,ref_indicateurs!$A:$A,0))&amp;"")</f>
        <v/>
      </c>
      <c r="C90" s="12">
        <f>IF($A90="","",INDEX(ref_indicateurs!$C:$C,MATCH($A90,ref_indicateurs!$A:$A,0))&amp;"")</f>
        <v/>
      </c>
      <c r="D90" s="12">
        <f>IF($A90="","",INDEX(ref_indicateurs!$E:$E,MATCH($A90,ref_indicateurs!$A:$A,0))&amp;"")</f>
        <v/>
      </c>
      <c r="E90" s="12">
        <f>IF($A90="","",INDEX(ref_indicateurs!$M:$M,MATCH($A90,ref_indicateurs!$A:$A,0))&amp;"")</f>
        <v/>
      </c>
      <c r="F90" s="12">
        <f>IF($A90="","",IF(INDEX(ref_indicateurs!$O:$O,MATCH($A90,ref_indicateurs!$A:$A,0))="","",INDEX(ref_indicateurs!$O:$O,MATCH($A90,ref_indicateurs!$A:$A,0))))</f>
        <v/>
      </c>
      <c r="G90" s="13">
        <f>IF($A90="","",SUMIFS(saisie_hebdo!$L:$L,saisie_hebdo!$I:$I,$A90))</f>
        <v/>
      </c>
      <c r="H90" s="13">
        <f>IF($A90="","",SUMIFS(saisie_hebdo!$M:$M,saisie_hebdo!$I:$I,$A90))</f>
        <v/>
      </c>
      <c r="I90" s="14">
        <f>IF(OR($A90="",L90=0),"",IF(D90="Pourcentage",IF(H90&gt;0,G90/H90*100,""),G90))</f>
        <v/>
      </c>
      <c r="J90" s="15">
        <f>IF(OR(I90="",F90="",F90=0),"",I90/F90)</f>
        <v/>
      </c>
      <c r="K90" s="12">
        <f>IF(OR($A90="",L90=0),"",IF(_xlfn.MAXIFS(saisie_hebdo!$C:$C,saisie_hebdo!$I:$I,$A90)=0,"",_xlfn.MAXIFS(saisie_hebdo!$C:$C,saisie_hebdo!$I:$I,$A90)))</f>
        <v/>
      </c>
      <c r="L90" s="12">
        <f>IF($A90="","",COUNTIFS(saisie_hebdo!$I:$I,$A90))</f>
        <v/>
      </c>
      <c r="M90" s="12">
        <f>IF($A90="","",IF(L90=0,"Non rapporté",IF(F90="","Suivi sans cible",IF(D90="Pourcentage",IF(I90&gt;=F90,"Cible atteinte","Sous la cible"),IF(J90&gt;=1,"Cible atteinte","En cours")))))</f>
        <v/>
      </c>
    </row>
    <row r="91">
      <c r="A91" s="12">
        <f>IFERROR(INDEX(ref_indicateurs!$A:$A,88)&amp;"","")</f>
        <v/>
      </c>
      <c r="B91" s="12">
        <f>IF($A91="","",INDEX(ref_indicateurs!$B:$B,MATCH($A91,ref_indicateurs!$A:$A,0))&amp;"")</f>
        <v/>
      </c>
      <c r="C91" s="12">
        <f>IF($A91="","",INDEX(ref_indicateurs!$C:$C,MATCH($A91,ref_indicateurs!$A:$A,0))&amp;"")</f>
        <v/>
      </c>
      <c r="D91" s="12">
        <f>IF($A91="","",INDEX(ref_indicateurs!$E:$E,MATCH($A91,ref_indicateurs!$A:$A,0))&amp;"")</f>
        <v/>
      </c>
      <c r="E91" s="12">
        <f>IF($A91="","",INDEX(ref_indicateurs!$M:$M,MATCH($A91,ref_indicateurs!$A:$A,0))&amp;"")</f>
        <v/>
      </c>
      <c r="F91" s="12">
        <f>IF($A91="","",IF(INDEX(ref_indicateurs!$O:$O,MATCH($A91,ref_indicateurs!$A:$A,0))="","",INDEX(ref_indicateurs!$O:$O,MATCH($A91,ref_indicateurs!$A:$A,0))))</f>
        <v/>
      </c>
      <c r="G91" s="13">
        <f>IF($A91="","",SUMIFS(saisie_hebdo!$L:$L,saisie_hebdo!$I:$I,$A91))</f>
        <v/>
      </c>
      <c r="H91" s="13">
        <f>IF($A91="","",SUMIFS(saisie_hebdo!$M:$M,saisie_hebdo!$I:$I,$A91))</f>
        <v/>
      </c>
      <c r="I91" s="14">
        <f>IF(OR($A91="",L91=0),"",IF(D91="Pourcentage",IF(H91&gt;0,G91/H91*100,""),G91))</f>
        <v/>
      </c>
      <c r="J91" s="15">
        <f>IF(OR(I91="",F91="",F91=0),"",I91/F91)</f>
        <v/>
      </c>
      <c r="K91" s="12">
        <f>IF(OR($A91="",L91=0),"",IF(_xlfn.MAXIFS(saisie_hebdo!$C:$C,saisie_hebdo!$I:$I,$A91)=0,"",_xlfn.MAXIFS(saisie_hebdo!$C:$C,saisie_hebdo!$I:$I,$A91)))</f>
        <v/>
      </c>
      <c r="L91" s="12">
        <f>IF($A91="","",COUNTIFS(saisie_hebdo!$I:$I,$A91))</f>
        <v/>
      </c>
      <c r="M91" s="12">
        <f>IF($A91="","",IF(L91=0,"Non rapporté",IF(F91="","Suivi sans cible",IF(D91="Pourcentage",IF(I91&gt;=F91,"Cible atteinte","Sous la cible"),IF(J91&gt;=1,"Cible atteinte","En cours")))))</f>
        <v/>
      </c>
    </row>
    <row r="92">
      <c r="A92" s="12">
        <f>IFERROR(INDEX(ref_indicateurs!$A:$A,89)&amp;"","")</f>
        <v/>
      </c>
      <c r="B92" s="12">
        <f>IF($A92="","",INDEX(ref_indicateurs!$B:$B,MATCH($A92,ref_indicateurs!$A:$A,0))&amp;"")</f>
        <v/>
      </c>
      <c r="C92" s="12">
        <f>IF($A92="","",INDEX(ref_indicateurs!$C:$C,MATCH($A92,ref_indicateurs!$A:$A,0))&amp;"")</f>
        <v/>
      </c>
      <c r="D92" s="12">
        <f>IF($A92="","",INDEX(ref_indicateurs!$E:$E,MATCH($A92,ref_indicateurs!$A:$A,0))&amp;"")</f>
        <v/>
      </c>
      <c r="E92" s="12">
        <f>IF($A92="","",INDEX(ref_indicateurs!$M:$M,MATCH($A92,ref_indicateurs!$A:$A,0))&amp;"")</f>
        <v/>
      </c>
      <c r="F92" s="12">
        <f>IF($A92="","",IF(INDEX(ref_indicateurs!$O:$O,MATCH($A92,ref_indicateurs!$A:$A,0))="","",INDEX(ref_indicateurs!$O:$O,MATCH($A92,ref_indicateurs!$A:$A,0))))</f>
        <v/>
      </c>
      <c r="G92" s="13">
        <f>IF($A92="","",SUMIFS(saisie_hebdo!$L:$L,saisie_hebdo!$I:$I,$A92))</f>
        <v/>
      </c>
      <c r="H92" s="13">
        <f>IF($A92="","",SUMIFS(saisie_hebdo!$M:$M,saisie_hebdo!$I:$I,$A92))</f>
        <v/>
      </c>
      <c r="I92" s="14">
        <f>IF(OR($A92="",L92=0),"",IF(D92="Pourcentage",IF(H92&gt;0,G92/H92*100,""),G92))</f>
        <v/>
      </c>
      <c r="J92" s="15">
        <f>IF(OR(I92="",F92="",F92=0),"",I92/F92)</f>
        <v/>
      </c>
      <c r="K92" s="12">
        <f>IF(OR($A92="",L92=0),"",IF(_xlfn.MAXIFS(saisie_hebdo!$C:$C,saisie_hebdo!$I:$I,$A92)=0,"",_xlfn.MAXIFS(saisie_hebdo!$C:$C,saisie_hebdo!$I:$I,$A92)))</f>
        <v/>
      </c>
      <c r="L92" s="12">
        <f>IF($A92="","",COUNTIFS(saisie_hebdo!$I:$I,$A92))</f>
        <v/>
      </c>
      <c r="M92" s="12">
        <f>IF($A92="","",IF(L92=0,"Non rapporté",IF(F92="","Suivi sans cible",IF(D92="Pourcentage",IF(I92&gt;=F92,"Cible atteinte","Sous la cible"),IF(J92&gt;=1,"Cible atteinte","En cours")))))</f>
        <v/>
      </c>
    </row>
    <row r="93">
      <c r="A93" s="12">
        <f>IFERROR(INDEX(ref_indicateurs!$A:$A,90)&amp;"","")</f>
        <v/>
      </c>
      <c r="B93" s="12">
        <f>IF($A93="","",INDEX(ref_indicateurs!$B:$B,MATCH($A93,ref_indicateurs!$A:$A,0))&amp;"")</f>
        <v/>
      </c>
      <c r="C93" s="12">
        <f>IF($A93="","",INDEX(ref_indicateurs!$C:$C,MATCH($A93,ref_indicateurs!$A:$A,0))&amp;"")</f>
        <v/>
      </c>
      <c r="D93" s="12">
        <f>IF($A93="","",INDEX(ref_indicateurs!$E:$E,MATCH($A93,ref_indicateurs!$A:$A,0))&amp;"")</f>
        <v/>
      </c>
      <c r="E93" s="12">
        <f>IF($A93="","",INDEX(ref_indicateurs!$M:$M,MATCH($A93,ref_indicateurs!$A:$A,0))&amp;"")</f>
        <v/>
      </c>
      <c r="F93" s="12">
        <f>IF($A93="","",IF(INDEX(ref_indicateurs!$O:$O,MATCH($A93,ref_indicateurs!$A:$A,0))="","",INDEX(ref_indicateurs!$O:$O,MATCH($A93,ref_indicateurs!$A:$A,0))))</f>
        <v/>
      </c>
      <c r="G93" s="13">
        <f>IF($A93="","",SUMIFS(saisie_hebdo!$L:$L,saisie_hebdo!$I:$I,$A93))</f>
        <v/>
      </c>
      <c r="H93" s="13">
        <f>IF($A93="","",SUMIFS(saisie_hebdo!$M:$M,saisie_hebdo!$I:$I,$A93))</f>
        <v/>
      </c>
      <c r="I93" s="14">
        <f>IF(OR($A93="",L93=0),"",IF(D93="Pourcentage",IF(H93&gt;0,G93/H93*100,""),G93))</f>
        <v/>
      </c>
      <c r="J93" s="15">
        <f>IF(OR(I93="",F93="",F93=0),"",I93/F93)</f>
        <v/>
      </c>
      <c r="K93" s="12">
        <f>IF(OR($A93="",L93=0),"",IF(_xlfn.MAXIFS(saisie_hebdo!$C:$C,saisie_hebdo!$I:$I,$A93)=0,"",_xlfn.MAXIFS(saisie_hebdo!$C:$C,saisie_hebdo!$I:$I,$A93)))</f>
        <v/>
      </c>
      <c r="L93" s="12">
        <f>IF($A93="","",COUNTIFS(saisie_hebdo!$I:$I,$A93))</f>
        <v/>
      </c>
      <c r="M93" s="12">
        <f>IF($A93="","",IF(L93=0,"Non rapporté",IF(F93="","Suivi sans cible",IF(D93="Pourcentage",IF(I93&gt;=F93,"Cible atteinte","Sous la cible"),IF(J93&gt;=1,"Cible atteinte","En cours")))))</f>
        <v/>
      </c>
    </row>
    <row r="94">
      <c r="A94" s="12">
        <f>IFERROR(INDEX(ref_indicateurs!$A:$A,91)&amp;"","")</f>
        <v/>
      </c>
      <c r="B94" s="12">
        <f>IF($A94="","",INDEX(ref_indicateurs!$B:$B,MATCH($A94,ref_indicateurs!$A:$A,0))&amp;"")</f>
        <v/>
      </c>
      <c r="C94" s="12">
        <f>IF($A94="","",INDEX(ref_indicateurs!$C:$C,MATCH($A94,ref_indicateurs!$A:$A,0))&amp;"")</f>
        <v/>
      </c>
      <c r="D94" s="12">
        <f>IF($A94="","",INDEX(ref_indicateurs!$E:$E,MATCH($A94,ref_indicateurs!$A:$A,0))&amp;"")</f>
        <v/>
      </c>
      <c r="E94" s="12">
        <f>IF($A94="","",INDEX(ref_indicateurs!$M:$M,MATCH($A94,ref_indicateurs!$A:$A,0))&amp;"")</f>
        <v/>
      </c>
      <c r="F94" s="12">
        <f>IF($A94="","",IF(INDEX(ref_indicateurs!$O:$O,MATCH($A94,ref_indicateurs!$A:$A,0))="","",INDEX(ref_indicateurs!$O:$O,MATCH($A94,ref_indicateurs!$A:$A,0))))</f>
        <v/>
      </c>
      <c r="G94" s="13">
        <f>IF($A94="","",SUMIFS(saisie_hebdo!$L:$L,saisie_hebdo!$I:$I,$A94))</f>
        <v/>
      </c>
      <c r="H94" s="13">
        <f>IF($A94="","",SUMIFS(saisie_hebdo!$M:$M,saisie_hebdo!$I:$I,$A94))</f>
        <v/>
      </c>
      <c r="I94" s="14">
        <f>IF(OR($A94="",L94=0),"",IF(D94="Pourcentage",IF(H94&gt;0,G94/H94*100,""),G94))</f>
        <v/>
      </c>
      <c r="J94" s="15">
        <f>IF(OR(I94="",F94="",F94=0),"",I94/F94)</f>
        <v/>
      </c>
      <c r="K94" s="12">
        <f>IF(OR($A94="",L94=0),"",IF(_xlfn.MAXIFS(saisie_hebdo!$C:$C,saisie_hebdo!$I:$I,$A94)=0,"",_xlfn.MAXIFS(saisie_hebdo!$C:$C,saisie_hebdo!$I:$I,$A94)))</f>
        <v/>
      </c>
      <c r="L94" s="12">
        <f>IF($A94="","",COUNTIFS(saisie_hebdo!$I:$I,$A94))</f>
        <v/>
      </c>
      <c r="M94" s="12">
        <f>IF($A94="","",IF(L94=0,"Non rapporté",IF(F94="","Suivi sans cible",IF(D94="Pourcentage",IF(I94&gt;=F94,"Cible atteinte","Sous la cible"),IF(J94&gt;=1,"Cible atteinte","En cours")))))</f>
        <v/>
      </c>
    </row>
    <row r="95">
      <c r="A95" s="12">
        <f>IFERROR(INDEX(ref_indicateurs!$A:$A,92)&amp;"","")</f>
        <v/>
      </c>
      <c r="B95" s="12">
        <f>IF($A95="","",INDEX(ref_indicateurs!$B:$B,MATCH($A95,ref_indicateurs!$A:$A,0))&amp;"")</f>
        <v/>
      </c>
      <c r="C95" s="12">
        <f>IF($A95="","",INDEX(ref_indicateurs!$C:$C,MATCH($A95,ref_indicateurs!$A:$A,0))&amp;"")</f>
        <v/>
      </c>
      <c r="D95" s="12">
        <f>IF($A95="","",INDEX(ref_indicateurs!$E:$E,MATCH($A95,ref_indicateurs!$A:$A,0))&amp;"")</f>
        <v/>
      </c>
      <c r="E95" s="12">
        <f>IF($A95="","",INDEX(ref_indicateurs!$M:$M,MATCH($A95,ref_indicateurs!$A:$A,0))&amp;"")</f>
        <v/>
      </c>
      <c r="F95" s="12">
        <f>IF($A95="","",IF(INDEX(ref_indicateurs!$O:$O,MATCH($A95,ref_indicateurs!$A:$A,0))="","",INDEX(ref_indicateurs!$O:$O,MATCH($A95,ref_indicateurs!$A:$A,0))))</f>
        <v/>
      </c>
      <c r="G95" s="13">
        <f>IF($A95="","",SUMIFS(saisie_hebdo!$L:$L,saisie_hebdo!$I:$I,$A95))</f>
        <v/>
      </c>
      <c r="H95" s="13">
        <f>IF($A95="","",SUMIFS(saisie_hebdo!$M:$M,saisie_hebdo!$I:$I,$A95))</f>
        <v/>
      </c>
      <c r="I95" s="14">
        <f>IF(OR($A95="",L95=0),"",IF(D95="Pourcentage",IF(H95&gt;0,G95/H95*100,""),G95))</f>
        <v/>
      </c>
      <c r="J95" s="15">
        <f>IF(OR(I95="",F95="",F95=0),"",I95/F95)</f>
        <v/>
      </c>
      <c r="K95" s="12">
        <f>IF(OR($A95="",L95=0),"",IF(_xlfn.MAXIFS(saisie_hebdo!$C:$C,saisie_hebdo!$I:$I,$A95)=0,"",_xlfn.MAXIFS(saisie_hebdo!$C:$C,saisie_hebdo!$I:$I,$A95)))</f>
        <v/>
      </c>
      <c r="L95" s="12">
        <f>IF($A95="","",COUNTIFS(saisie_hebdo!$I:$I,$A95))</f>
        <v/>
      </c>
      <c r="M95" s="12">
        <f>IF($A95="","",IF(L95=0,"Non rapporté",IF(F95="","Suivi sans cible",IF(D95="Pourcentage",IF(I95&gt;=F95,"Cible atteinte","Sous la cible"),IF(J95&gt;=1,"Cible atteinte","En cours")))))</f>
        <v/>
      </c>
    </row>
    <row r="96">
      <c r="A96" s="12">
        <f>IFERROR(INDEX(ref_indicateurs!$A:$A,93)&amp;"","")</f>
        <v/>
      </c>
      <c r="B96" s="12">
        <f>IF($A96="","",INDEX(ref_indicateurs!$B:$B,MATCH($A96,ref_indicateurs!$A:$A,0))&amp;"")</f>
        <v/>
      </c>
      <c r="C96" s="12">
        <f>IF($A96="","",INDEX(ref_indicateurs!$C:$C,MATCH($A96,ref_indicateurs!$A:$A,0))&amp;"")</f>
        <v/>
      </c>
      <c r="D96" s="12">
        <f>IF($A96="","",INDEX(ref_indicateurs!$E:$E,MATCH($A96,ref_indicateurs!$A:$A,0))&amp;"")</f>
        <v/>
      </c>
      <c r="E96" s="12">
        <f>IF($A96="","",INDEX(ref_indicateurs!$M:$M,MATCH($A96,ref_indicateurs!$A:$A,0))&amp;"")</f>
        <v/>
      </c>
      <c r="F96" s="12">
        <f>IF($A96="","",IF(INDEX(ref_indicateurs!$O:$O,MATCH($A96,ref_indicateurs!$A:$A,0))="","",INDEX(ref_indicateurs!$O:$O,MATCH($A96,ref_indicateurs!$A:$A,0))))</f>
        <v/>
      </c>
      <c r="G96" s="13">
        <f>IF($A96="","",SUMIFS(saisie_hebdo!$L:$L,saisie_hebdo!$I:$I,$A96))</f>
        <v/>
      </c>
      <c r="H96" s="13">
        <f>IF($A96="","",SUMIFS(saisie_hebdo!$M:$M,saisie_hebdo!$I:$I,$A96))</f>
        <v/>
      </c>
      <c r="I96" s="14">
        <f>IF(OR($A96="",L96=0),"",IF(D96="Pourcentage",IF(H96&gt;0,G96/H96*100,""),G96))</f>
        <v/>
      </c>
      <c r="J96" s="15">
        <f>IF(OR(I96="",F96="",F96=0),"",I96/F96)</f>
        <v/>
      </c>
      <c r="K96" s="12">
        <f>IF(OR($A96="",L96=0),"",IF(_xlfn.MAXIFS(saisie_hebdo!$C:$C,saisie_hebdo!$I:$I,$A96)=0,"",_xlfn.MAXIFS(saisie_hebdo!$C:$C,saisie_hebdo!$I:$I,$A96)))</f>
        <v/>
      </c>
      <c r="L96" s="12">
        <f>IF($A96="","",COUNTIFS(saisie_hebdo!$I:$I,$A96))</f>
        <v/>
      </c>
      <c r="M96" s="12">
        <f>IF($A96="","",IF(L96=0,"Non rapporté",IF(F96="","Suivi sans cible",IF(D96="Pourcentage",IF(I96&gt;=F96,"Cible atteinte","Sous la cible"),IF(J96&gt;=1,"Cible atteinte","En cours")))))</f>
        <v/>
      </c>
    </row>
    <row r="97">
      <c r="A97" s="12">
        <f>IFERROR(INDEX(ref_indicateurs!$A:$A,94)&amp;"","")</f>
        <v/>
      </c>
      <c r="B97" s="12">
        <f>IF($A97="","",INDEX(ref_indicateurs!$B:$B,MATCH($A97,ref_indicateurs!$A:$A,0))&amp;"")</f>
        <v/>
      </c>
      <c r="C97" s="12">
        <f>IF($A97="","",INDEX(ref_indicateurs!$C:$C,MATCH($A97,ref_indicateurs!$A:$A,0))&amp;"")</f>
        <v/>
      </c>
      <c r="D97" s="12">
        <f>IF($A97="","",INDEX(ref_indicateurs!$E:$E,MATCH($A97,ref_indicateurs!$A:$A,0))&amp;"")</f>
        <v/>
      </c>
      <c r="E97" s="12">
        <f>IF($A97="","",INDEX(ref_indicateurs!$M:$M,MATCH($A97,ref_indicateurs!$A:$A,0))&amp;"")</f>
        <v/>
      </c>
      <c r="F97" s="12">
        <f>IF($A97="","",IF(INDEX(ref_indicateurs!$O:$O,MATCH($A97,ref_indicateurs!$A:$A,0))="","",INDEX(ref_indicateurs!$O:$O,MATCH($A97,ref_indicateurs!$A:$A,0))))</f>
        <v/>
      </c>
      <c r="G97" s="13">
        <f>IF($A97="","",SUMIFS(saisie_hebdo!$L:$L,saisie_hebdo!$I:$I,$A97))</f>
        <v/>
      </c>
      <c r="H97" s="13">
        <f>IF($A97="","",SUMIFS(saisie_hebdo!$M:$M,saisie_hebdo!$I:$I,$A97))</f>
        <v/>
      </c>
      <c r="I97" s="14">
        <f>IF(OR($A97="",L97=0),"",IF(D97="Pourcentage",IF(H97&gt;0,G97/H97*100,""),G97))</f>
        <v/>
      </c>
      <c r="J97" s="15">
        <f>IF(OR(I97="",F97="",F97=0),"",I97/F97)</f>
        <v/>
      </c>
      <c r="K97" s="12">
        <f>IF(OR($A97="",L97=0),"",IF(_xlfn.MAXIFS(saisie_hebdo!$C:$C,saisie_hebdo!$I:$I,$A97)=0,"",_xlfn.MAXIFS(saisie_hebdo!$C:$C,saisie_hebdo!$I:$I,$A97)))</f>
        <v/>
      </c>
      <c r="L97" s="12">
        <f>IF($A97="","",COUNTIFS(saisie_hebdo!$I:$I,$A97))</f>
        <v/>
      </c>
      <c r="M97" s="12">
        <f>IF($A97="","",IF(L97=0,"Non rapporté",IF(F97="","Suivi sans cible",IF(D97="Pourcentage",IF(I97&gt;=F97,"Cible atteinte","Sous la cible"),IF(J97&gt;=1,"Cible atteinte","En cours")))))</f>
        <v/>
      </c>
    </row>
    <row r="98">
      <c r="A98" s="12">
        <f>IFERROR(INDEX(ref_indicateurs!$A:$A,95)&amp;"","")</f>
        <v/>
      </c>
      <c r="B98" s="12">
        <f>IF($A98="","",INDEX(ref_indicateurs!$B:$B,MATCH($A98,ref_indicateurs!$A:$A,0))&amp;"")</f>
        <v/>
      </c>
      <c r="C98" s="12">
        <f>IF($A98="","",INDEX(ref_indicateurs!$C:$C,MATCH($A98,ref_indicateurs!$A:$A,0))&amp;"")</f>
        <v/>
      </c>
      <c r="D98" s="12">
        <f>IF($A98="","",INDEX(ref_indicateurs!$E:$E,MATCH($A98,ref_indicateurs!$A:$A,0))&amp;"")</f>
        <v/>
      </c>
      <c r="E98" s="12">
        <f>IF($A98="","",INDEX(ref_indicateurs!$M:$M,MATCH($A98,ref_indicateurs!$A:$A,0))&amp;"")</f>
        <v/>
      </c>
      <c r="F98" s="12">
        <f>IF($A98="","",IF(INDEX(ref_indicateurs!$O:$O,MATCH($A98,ref_indicateurs!$A:$A,0))="","",INDEX(ref_indicateurs!$O:$O,MATCH($A98,ref_indicateurs!$A:$A,0))))</f>
        <v/>
      </c>
      <c r="G98" s="13">
        <f>IF($A98="","",SUMIFS(saisie_hebdo!$L:$L,saisie_hebdo!$I:$I,$A98))</f>
        <v/>
      </c>
      <c r="H98" s="13">
        <f>IF($A98="","",SUMIFS(saisie_hebdo!$M:$M,saisie_hebdo!$I:$I,$A98))</f>
        <v/>
      </c>
      <c r="I98" s="14">
        <f>IF(OR($A98="",L98=0),"",IF(D98="Pourcentage",IF(H98&gt;0,G98/H98*100,""),G98))</f>
        <v/>
      </c>
      <c r="J98" s="15">
        <f>IF(OR(I98="",F98="",F98=0),"",I98/F98)</f>
        <v/>
      </c>
      <c r="K98" s="12">
        <f>IF(OR($A98="",L98=0),"",IF(_xlfn.MAXIFS(saisie_hebdo!$C:$C,saisie_hebdo!$I:$I,$A98)=0,"",_xlfn.MAXIFS(saisie_hebdo!$C:$C,saisie_hebdo!$I:$I,$A98)))</f>
        <v/>
      </c>
      <c r="L98" s="12">
        <f>IF($A98="","",COUNTIFS(saisie_hebdo!$I:$I,$A98))</f>
        <v/>
      </c>
      <c r="M98" s="12">
        <f>IF($A98="","",IF(L98=0,"Non rapporté",IF(F98="","Suivi sans cible",IF(D98="Pourcentage",IF(I98&gt;=F98,"Cible atteinte","Sous la cible"),IF(J98&gt;=1,"Cible atteinte","En cours")))))</f>
        <v/>
      </c>
    </row>
    <row r="99">
      <c r="A99" s="12">
        <f>IFERROR(INDEX(ref_indicateurs!$A:$A,96)&amp;"","")</f>
        <v/>
      </c>
      <c r="B99" s="12">
        <f>IF($A99="","",INDEX(ref_indicateurs!$B:$B,MATCH($A99,ref_indicateurs!$A:$A,0))&amp;"")</f>
        <v/>
      </c>
      <c r="C99" s="12">
        <f>IF($A99="","",INDEX(ref_indicateurs!$C:$C,MATCH($A99,ref_indicateurs!$A:$A,0))&amp;"")</f>
        <v/>
      </c>
      <c r="D99" s="12">
        <f>IF($A99="","",INDEX(ref_indicateurs!$E:$E,MATCH($A99,ref_indicateurs!$A:$A,0))&amp;"")</f>
        <v/>
      </c>
      <c r="E99" s="12">
        <f>IF($A99="","",INDEX(ref_indicateurs!$M:$M,MATCH($A99,ref_indicateurs!$A:$A,0))&amp;"")</f>
        <v/>
      </c>
      <c r="F99" s="12">
        <f>IF($A99="","",IF(INDEX(ref_indicateurs!$O:$O,MATCH($A99,ref_indicateurs!$A:$A,0))="","",INDEX(ref_indicateurs!$O:$O,MATCH($A99,ref_indicateurs!$A:$A,0))))</f>
        <v/>
      </c>
      <c r="G99" s="13">
        <f>IF($A99="","",SUMIFS(saisie_hebdo!$L:$L,saisie_hebdo!$I:$I,$A99))</f>
        <v/>
      </c>
      <c r="H99" s="13">
        <f>IF($A99="","",SUMIFS(saisie_hebdo!$M:$M,saisie_hebdo!$I:$I,$A99))</f>
        <v/>
      </c>
      <c r="I99" s="14">
        <f>IF(OR($A99="",L99=0),"",IF(D99="Pourcentage",IF(H99&gt;0,G99/H99*100,""),G99))</f>
        <v/>
      </c>
      <c r="J99" s="15">
        <f>IF(OR(I99="",F99="",F99=0),"",I99/F99)</f>
        <v/>
      </c>
      <c r="K99" s="12">
        <f>IF(OR($A99="",L99=0),"",IF(_xlfn.MAXIFS(saisie_hebdo!$C:$C,saisie_hebdo!$I:$I,$A99)=0,"",_xlfn.MAXIFS(saisie_hebdo!$C:$C,saisie_hebdo!$I:$I,$A99)))</f>
        <v/>
      </c>
      <c r="L99" s="12">
        <f>IF($A99="","",COUNTIFS(saisie_hebdo!$I:$I,$A99))</f>
        <v/>
      </c>
      <c r="M99" s="12">
        <f>IF($A99="","",IF(L99=0,"Non rapporté",IF(F99="","Suivi sans cible",IF(D99="Pourcentage",IF(I99&gt;=F99,"Cible atteinte","Sous la cible"),IF(J99&gt;=1,"Cible atteinte","En cours")))))</f>
        <v/>
      </c>
    </row>
    <row r="100">
      <c r="A100" s="12">
        <f>IFERROR(INDEX(ref_indicateurs!$A:$A,97)&amp;"","")</f>
        <v/>
      </c>
      <c r="B100" s="12">
        <f>IF($A100="","",INDEX(ref_indicateurs!$B:$B,MATCH($A100,ref_indicateurs!$A:$A,0))&amp;"")</f>
        <v/>
      </c>
      <c r="C100" s="12">
        <f>IF($A100="","",INDEX(ref_indicateurs!$C:$C,MATCH($A100,ref_indicateurs!$A:$A,0))&amp;"")</f>
        <v/>
      </c>
      <c r="D100" s="12">
        <f>IF($A100="","",INDEX(ref_indicateurs!$E:$E,MATCH($A100,ref_indicateurs!$A:$A,0))&amp;"")</f>
        <v/>
      </c>
      <c r="E100" s="12">
        <f>IF($A100="","",INDEX(ref_indicateurs!$M:$M,MATCH($A100,ref_indicateurs!$A:$A,0))&amp;"")</f>
        <v/>
      </c>
      <c r="F100" s="12">
        <f>IF($A100="","",IF(INDEX(ref_indicateurs!$O:$O,MATCH($A100,ref_indicateurs!$A:$A,0))="","",INDEX(ref_indicateurs!$O:$O,MATCH($A100,ref_indicateurs!$A:$A,0))))</f>
        <v/>
      </c>
      <c r="G100" s="13">
        <f>IF($A100="","",SUMIFS(saisie_hebdo!$L:$L,saisie_hebdo!$I:$I,$A100))</f>
        <v/>
      </c>
      <c r="H100" s="13">
        <f>IF($A100="","",SUMIFS(saisie_hebdo!$M:$M,saisie_hebdo!$I:$I,$A100))</f>
        <v/>
      </c>
      <c r="I100" s="14">
        <f>IF(OR($A100="",L100=0),"",IF(D100="Pourcentage",IF(H100&gt;0,G100/H100*100,""),G100))</f>
        <v/>
      </c>
      <c r="J100" s="15">
        <f>IF(OR(I100="",F100="",F100=0),"",I100/F100)</f>
        <v/>
      </c>
      <c r="K100" s="12">
        <f>IF(OR($A100="",L100=0),"",IF(_xlfn.MAXIFS(saisie_hebdo!$C:$C,saisie_hebdo!$I:$I,$A100)=0,"",_xlfn.MAXIFS(saisie_hebdo!$C:$C,saisie_hebdo!$I:$I,$A100)))</f>
        <v/>
      </c>
      <c r="L100" s="12">
        <f>IF($A100="","",COUNTIFS(saisie_hebdo!$I:$I,$A100))</f>
        <v/>
      </c>
      <c r="M100" s="12">
        <f>IF($A100="","",IF(L100=0,"Non rapporté",IF(F100="","Suivi sans cible",IF(D100="Pourcentage",IF(I100&gt;=F100,"Cible atteinte","Sous la cible"),IF(J100&gt;=1,"Cible atteinte","En cours")))))</f>
        <v/>
      </c>
    </row>
    <row r="101">
      <c r="A101" s="12">
        <f>IFERROR(INDEX(ref_indicateurs!$A:$A,98)&amp;"","")</f>
        <v/>
      </c>
      <c r="B101" s="12">
        <f>IF($A101="","",INDEX(ref_indicateurs!$B:$B,MATCH($A101,ref_indicateurs!$A:$A,0))&amp;"")</f>
        <v/>
      </c>
      <c r="C101" s="12">
        <f>IF($A101="","",INDEX(ref_indicateurs!$C:$C,MATCH($A101,ref_indicateurs!$A:$A,0))&amp;"")</f>
        <v/>
      </c>
      <c r="D101" s="12">
        <f>IF($A101="","",INDEX(ref_indicateurs!$E:$E,MATCH($A101,ref_indicateurs!$A:$A,0))&amp;"")</f>
        <v/>
      </c>
      <c r="E101" s="12">
        <f>IF($A101="","",INDEX(ref_indicateurs!$M:$M,MATCH($A101,ref_indicateurs!$A:$A,0))&amp;"")</f>
        <v/>
      </c>
      <c r="F101" s="12">
        <f>IF($A101="","",IF(INDEX(ref_indicateurs!$O:$O,MATCH($A101,ref_indicateurs!$A:$A,0))="","",INDEX(ref_indicateurs!$O:$O,MATCH($A101,ref_indicateurs!$A:$A,0))))</f>
        <v/>
      </c>
      <c r="G101" s="13">
        <f>IF($A101="","",SUMIFS(saisie_hebdo!$L:$L,saisie_hebdo!$I:$I,$A101))</f>
        <v/>
      </c>
      <c r="H101" s="13">
        <f>IF($A101="","",SUMIFS(saisie_hebdo!$M:$M,saisie_hebdo!$I:$I,$A101))</f>
        <v/>
      </c>
      <c r="I101" s="14">
        <f>IF(OR($A101="",L101=0),"",IF(D101="Pourcentage",IF(H101&gt;0,G101/H101*100,""),G101))</f>
        <v/>
      </c>
      <c r="J101" s="15">
        <f>IF(OR(I101="",F101="",F101=0),"",I101/F101)</f>
        <v/>
      </c>
      <c r="K101" s="12">
        <f>IF(OR($A101="",L101=0),"",IF(_xlfn.MAXIFS(saisie_hebdo!$C:$C,saisie_hebdo!$I:$I,$A101)=0,"",_xlfn.MAXIFS(saisie_hebdo!$C:$C,saisie_hebdo!$I:$I,$A101)))</f>
        <v/>
      </c>
      <c r="L101" s="12">
        <f>IF($A101="","",COUNTIFS(saisie_hebdo!$I:$I,$A101))</f>
        <v/>
      </c>
      <c r="M101" s="12">
        <f>IF($A101="","",IF(L101=0,"Non rapporté",IF(F101="","Suivi sans cible",IF(D101="Pourcentage",IF(I101&gt;=F101,"Cible atteinte","Sous la cible"),IF(J101&gt;=1,"Cible atteinte","En cours")))))</f>
        <v/>
      </c>
    </row>
    <row r="102">
      <c r="A102" s="12">
        <f>IFERROR(INDEX(ref_indicateurs!$A:$A,99)&amp;"","")</f>
        <v/>
      </c>
      <c r="B102" s="12">
        <f>IF($A102="","",INDEX(ref_indicateurs!$B:$B,MATCH($A102,ref_indicateurs!$A:$A,0))&amp;"")</f>
        <v/>
      </c>
      <c r="C102" s="12">
        <f>IF($A102="","",INDEX(ref_indicateurs!$C:$C,MATCH($A102,ref_indicateurs!$A:$A,0))&amp;"")</f>
        <v/>
      </c>
      <c r="D102" s="12">
        <f>IF($A102="","",INDEX(ref_indicateurs!$E:$E,MATCH($A102,ref_indicateurs!$A:$A,0))&amp;"")</f>
        <v/>
      </c>
      <c r="E102" s="12">
        <f>IF($A102="","",INDEX(ref_indicateurs!$M:$M,MATCH($A102,ref_indicateurs!$A:$A,0))&amp;"")</f>
        <v/>
      </c>
      <c r="F102" s="12">
        <f>IF($A102="","",IF(INDEX(ref_indicateurs!$O:$O,MATCH($A102,ref_indicateurs!$A:$A,0))="","",INDEX(ref_indicateurs!$O:$O,MATCH($A102,ref_indicateurs!$A:$A,0))))</f>
        <v/>
      </c>
      <c r="G102" s="13">
        <f>IF($A102="","",SUMIFS(saisie_hebdo!$L:$L,saisie_hebdo!$I:$I,$A102))</f>
        <v/>
      </c>
      <c r="H102" s="13">
        <f>IF($A102="","",SUMIFS(saisie_hebdo!$M:$M,saisie_hebdo!$I:$I,$A102))</f>
        <v/>
      </c>
      <c r="I102" s="14">
        <f>IF(OR($A102="",L102=0),"",IF(D102="Pourcentage",IF(H102&gt;0,G102/H102*100,""),G102))</f>
        <v/>
      </c>
      <c r="J102" s="15">
        <f>IF(OR(I102="",F102="",F102=0),"",I102/F102)</f>
        <v/>
      </c>
      <c r="K102" s="12">
        <f>IF(OR($A102="",L102=0),"",IF(_xlfn.MAXIFS(saisie_hebdo!$C:$C,saisie_hebdo!$I:$I,$A102)=0,"",_xlfn.MAXIFS(saisie_hebdo!$C:$C,saisie_hebdo!$I:$I,$A102)))</f>
        <v/>
      </c>
      <c r="L102" s="12">
        <f>IF($A102="","",COUNTIFS(saisie_hebdo!$I:$I,$A102))</f>
        <v/>
      </c>
      <c r="M102" s="12">
        <f>IF($A102="","",IF(L102=0,"Non rapporté",IF(F102="","Suivi sans cible",IF(D102="Pourcentage",IF(I102&gt;=F102,"Cible atteinte","Sous la cible"),IF(J102&gt;=1,"Cible atteinte","En cours")))))</f>
        <v/>
      </c>
    </row>
    <row r="103">
      <c r="A103" s="12">
        <f>IFERROR(INDEX(ref_indicateurs!$A:$A,100)&amp;"","")</f>
        <v/>
      </c>
      <c r="B103" s="12">
        <f>IF($A103="","",INDEX(ref_indicateurs!$B:$B,MATCH($A103,ref_indicateurs!$A:$A,0))&amp;"")</f>
        <v/>
      </c>
      <c r="C103" s="12">
        <f>IF($A103="","",INDEX(ref_indicateurs!$C:$C,MATCH($A103,ref_indicateurs!$A:$A,0))&amp;"")</f>
        <v/>
      </c>
      <c r="D103" s="12">
        <f>IF($A103="","",INDEX(ref_indicateurs!$E:$E,MATCH($A103,ref_indicateurs!$A:$A,0))&amp;"")</f>
        <v/>
      </c>
      <c r="E103" s="12">
        <f>IF($A103="","",INDEX(ref_indicateurs!$M:$M,MATCH($A103,ref_indicateurs!$A:$A,0))&amp;"")</f>
        <v/>
      </c>
      <c r="F103" s="12">
        <f>IF($A103="","",IF(INDEX(ref_indicateurs!$O:$O,MATCH($A103,ref_indicateurs!$A:$A,0))="","",INDEX(ref_indicateurs!$O:$O,MATCH($A103,ref_indicateurs!$A:$A,0))))</f>
        <v/>
      </c>
      <c r="G103" s="13">
        <f>IF($A103="","",SUMIFS(saisie_hebdo!$L:$L,saisie_hebdo!$I:$I,$A103))</f>
        <v/>
      </c>
      <c r="H103" s="13">
        <f>IF($A103="","",SUMIFS(saisie_hebdo!$M:$M,saisie_hebdo!$I:$I,$A103))</f>
        <v/>
      </c>
      <c r="I103" s="14">
        <f>IF(OR($A103="",L103=0),"",IF(D103="Pourcentage",IF(H103&gt;0,G103/H103*100,""),G103))</f>
        <v/>
      </c>
      <c r="J103" s="15">
        <f>IF(OR(I103="",F103="",F103=0),"",I103/F103)</f>
        <v/>
      </c>
      <c r="K103" s="12">
        <f>IF(OR($A103="",L103=0),"",IF(_xlfn.MAXIFS(saisie_hebdo!$C:$C,saisie_hebdo!$I:$I,$A103)=0,"",_xlfn.MAXIFS(saisie_hebdo!$C:$C,saisie_hebdo!$I:$I,$A103)))</f>
        <v/>
      </c>
      <c r="L103" s="12">
        <f>IF($A103="","",COUNTIFS(saisie_hebdo!$I:$I,$A103))</f>
        <v/>
      </c>
      <c r="M103" s="12">
        <f>IF($A103="","",IF(L103=0,"Non rapporté",IF(F103="","Suivi sans cible",IF(D103="Pourcentage",IF(I103&gt;=F103,"Cible atteinte","Sous la cible"),IF(J103&gt;=1,"Cible atteinte","En cours")))))</f>
        <v/>
      </c>
    </row>
    <row r="104">
      <c r="A104" s="12">
        <f>IFERROR(INDEX(ref_indicateurs!$A:$A,101)&amp;"","")</f>
        <v/>
      </c>
      <c r="B104" s="12">
        <f>IF($A104="","",INDEX(ref_indicateurs!$B:$B,MATCH($A104,ref_indicateurs!$A:$A,0))&amp;"")</f>
        <v/>
      </c>
      <c r="C104" s="12">
        <f>IF($A104="","",INDEX(ref_indicateurs!$C:$C,MATCH($A104,ref_indicateurs!$A:$A,0))&amp;"")</f>
        <v/>
      </c>
      <c r="D104" s="12">
        <f>IF($A104="","",INDEX(ref_indicateurs!$E:$E,MATCH($A104,ref_indicateurs!$A:$A,0))&amp;"")</f>
        <v/>
      </c>
      <c r="E104" s="12">
        <f>IF($A104="","",INDEX(ref_indicateurs!$M:$M,MATCH($A104,ref_indicateurs!$A:$A,0))&amp;"")</f>
        <v/>
      </c>
      <c r="F104" s="12">
        <f>IF($A104="","",IF(INDEX(ref_indicateurs!$O:$O,MATCH($A104,ref_indicateurs!$A:$A,0))="","",INDEX(ref_indicateurs!$O:$O,MATCH($A104,ref_indicateurs!$A:$A,0))))</f>
        <v/>
      </c>
      <c r="G104" s="13">
        <f>IF($A104="","",SUMIFS(saisie_hebdo!$L:$L,saisie_hebdo!$I:$I,$A104))</f>
        <v/>
      </c>
      <c r="H104" s="13">
        <f>IF($A104="","",SUMIFS(saisie_hebdo!$M:$M,saisie_hebdo!$I:$I,$A104))</f>
        <v/>
      </c>
      <c r="I104" s="14">
        <f>IF(OR($A104="",L104=0),"",IF(D104="Pourcentage",IF(H104&gt;0,G104/H104*100,""),G104))</f>
        <v/>
      </c>
      <c r="J104" s="15">
        <f>IF(OR(I104="",F104="",F104=0),"",I104/F104)</f>
        <v/>
      </c>
      <c r="K104" s="12">
        <f>IF(OR($A104="",L104=0),"",IF(_xlfn.MAXIFS(saisie_hebdo!$C:$C,saisie_hebdo!$I:$I,$A104)=0,"",_xlfn.MAXIFS(saisie_hebdo!$C:$C,saisie_hebdo!$I:$I,$A104)))</f>
        <v/>
      </c>
      <c r="L104" s="12">
        <f>IF($A104="","",COUNTIFS(saisie_hebdo!$I:$I,$A104))</f>
        <v/>
      </c>
      <c r="M104" s="12">
        <f>IF($A104="","",IF(L104=0,"Non rapporté",IF(F104="","Suivi sans cible",IF(D104="Pourcentage",IF(I104&gt;=F104,"Cible atteinte","Sous la cible"),IF(J104&gt;=1,"Cible atteinte","En cours")))))</f>
        <v/>
      </c>
    </row>
    <row r="105">
      <c r="A105" s="12">
        <f>IFERROR(INDEX(ref_indicateurs!$A:$A,102)&amp;"","")</f>
        <v/>
      </c>
      <c r="B105" s="12">
        <f>IF($A105="","",INDEX(ref_indicateurs!$B:$B,MATCH($A105,ref_indicateurs!$A:$A,0))&amp;"")</f>
        <v/>
      </c>
      <c r="C105" s="12">
        <f>IF($A105="","",INDEX(ref_indicateurs!$C:$C,MATCH($A105,ref_indicateurs!$A:$A,0))&amp;"")</f>
        <v/>
      </c>
      <c r="D105" s="12">
        <f>IF($A105="","",INDEX(ref_indicateurs!$E:$E,MATCH($A105,ref_indicateurs!$A:$A,0))&amp;"")</f>
        <v/>
      </c>
      <c r="E105" s="12">
        <f>IF($A105="","",INDEX(ref_indicateurs!$M:$M,MATCH($A105,ref_indicateurs!$A:$A,0))&amp;"")</f>
        <v/>
      </c>
      <c r="F105" s="12">
        <f>IF($A105="","",IF(INDEX(ref_indicateurs!$O:$O,MATCH($A105,ref_indicateurs!$A:$A,0))="","",INDEX(ref_indicateurs!$O:$O,MATCH($A105,ref_indicateurs!$A:$A,0))))</f>
        <v/>
      </c>
      <c r="G105" s="13">
        <f>IF($A105="","",SUMIFS(saisie_hebdo!$L:$L,saisie_hebdo!$I:$I,$A105))</f>
        <v/>
      </c>
      <c r="H105" s="13">
        <f>IF($A105="","",SUMIFS(saisie_hebdo!$M:$M,saisie_hebdo!$I:$I,$A105))</f>
        <v/>
      </c>
      <c r="I105" s="14">
        <f>IF(OR($A105="",L105=0),"",IF(D105="Pourcentage",IF(H105&gt;0,G105/H105*100,""),G105))</f>
        <v/>
      </c>
      <c r="J105" s="15">
        <f>IF(OR(I105="",F105="",F105=0),"",I105/F105)</f>
        <v/>
      </c>
      <c r="K105" s="12">
        <f>IF(OR($A105="",L105=0),"",IF(_xlfn.MAXIFS(saisie_hebdo!$C:$C,saisie_hebdo!$I:$I,$A105)=0,"",_xlfn.MAXIFS(saisie_hebdo!$C:$C,saisie_hebdo!$I:$I,$A105)))</f>
        <v/>
      </c>
      <c r="L105" s="12">
        <f>IF($A105="","",COUNTIFS(saisie_hebdo!$I:$I,$A105))</f>
        <v/>
      </c>
      <c r="M105" s="12">
        <f>IF($A105="","",IF(L105=0,"Non rapporté",IF(F105="","Suivi sans cible",IF(D105="Pourcentage",IF(I105&gt;=F105,"Cible atteinte","Sous la cible"),IF(J105&gt;=1,"Cible atteinte","En cours")))))</f>
        <v/>
      </c>
    </row>
    <row r="106">
      <c r="A106" s="12">
        <f>IFERROR(INDEX(ref_indicateurs!$A:$A,103)&amp;"","")</f>
        <v/>
      </c>
      <c r="B106" s="12">
        <f>IF($A106="","",INDEX(ref_indicateurs!$B:$B,MATCH($A106,ref_indicateurs!$A:$A,0))&amp;"")</f>
        <v/>
      </c>
      <c r="C106" s="12">
        <f>IF($A106="","",INDEX(ref_indicateurs!$C:$C,MATCH($A106,ref_indicateurs!$A:$A,0))&amp;"")</f>
        <v/>
      </c>
      <c r="D106" s="12">
        <f>IF($A106="","",INDEX(ref_indicateurs!$E:$E,MATCH($A106,ref_indicateurs!$A:$A,0))&amp;"")</f>
        <v/>
      </c>
      <c r="E106" s="12">
        <f>IF($A106="","",INDEX(ref_indicateurs!$M:$M,MATCH($A106,ref_indicateurs!$A:$A,0))&amp;"")</f>
        <v/>
      </c>
      <c r="F106" s="12">
        <f>IF($A106="","",IF(INDEX(ref_indicateurs!$O:$O,MATCH($A106,ref_indicateurs!$A:$A,0))="","",INDEX(ref_indicateurs!$O:$O,MATCH($A106,ref_indicateurs!$A:$A,0))))</f>
        <v/>
      </c>
      <c r="G106" s="13">
        <f>IF($A106="","",SUMIFS(saisie_hebdo!$L:$L,saisie_hebdo!$I:$I,$A106))</f>
        <v/>
      </c>
      <c r="H106" s="13">
        <f>IF($A106="","",SUMIFS(saisie_hebdo!$M:$M,saisie_hebdo!$I:$I,$A106))</f>
        <v/>
      </c>
      <c r="I106" s="14">
        <f>IF(OR($A106="",L106=0),"",IF(D106="Pourcentage",IF(H106&gt;0,G106/H106*100,""),G106))</f>
        <v/>
      </c>
      <c r="J106" s="15">
        <f>IF(OR(I106="",F106="",F106=0),"",I106/F106)</f>
        <v/>
      </c>
      <c r="K106" s="12">
        <f>IF(OR($A106="",L106=0),"",IF(_xlfn.MAXIFS(saisie_hebdo!$C:$C,saisie_hebdo!$I:$I,$A106)=0,"",_xlfn.MAXIFS(saisie_hebdo!$C:$C,saisie_hebdo!$I:$I,$A106)))</f>
        <v/>
      </c>
      <c r="L106" s="12">
        <f>IF($A106="","",COUNTIFS(saisie_hebdo!$I:$I,$A106))</f>
        <v/>
      </c>
      <c r="M106" s="12">
        <f>IF($A106="","",IF(L106=0,"Non rapporté",IF(F106="","Suivi sans cible",IF(D106="Pourcentage",IF(I106&gt;=F106,"Cible atteinte","Sous la cible"),IF(J106&gt;=1,"Cible atteinte","En cours")))))</f>
        <v/>
      </c>
    </row>
    <row r="107">
      <c r="A107" s="12">
        <f>IFERROR(INDEX(ref_indicateurs!$A:$A,104)&amp;"","")</f>
        <v/>
      </c>
      <c r="B107" s="12">
        <f>IF($A107="","",INDEX(ref_indicateurs!$B:$B,MATCH($A107,ref_indicateurs!$A:$A,0))&amp;"")</f>
        <v/>
      </c>
      <c r="C107" s="12">
        <f>IF($A107="","",INDEX(ref_indicateurs!$C:$C,MATCH($A107,ref_indicateurs!$A:$A,0))&amp;"")</f>
        <v/>
      </c>
      <c r="D107" s="12">
        <f>IF($A107="","",INDEX(ref_indicateurs!$E:$E,MATCH($A107,ref_indicateurs!$A:$A,0))&amp;"")</f>
        <v/>
      </c>
      <c r="E107" s="12">
        <f>IF($A107="","",INDEX(ref_indicateurs!$M:$M,MATCH($A107,ref_indicateurs!$A:$A,0))&amp;"")</f>
        <v/>
      </c>
      <c r="F107" s="12">
        <f>IF($A107="","",IF(INDEX(ref_indicateurs!$O:$O,MATCH($A107,ref_indicateurs!$A:$A,0))="","",INDEX(ref_indicateurs!$O:$O,MATCH($A107,ref_indicateurs!$A:$A,0))))</f>
        <v/>
      </c>
      <c r="G107" s="13">
        <f>IF($A107="","",SUMIFS(saisie_hebdo!$L:$L,saisie_hebdo!$I:$I,$A107))</f>
        <v/>
      </c>
      <c r="H107" s="13">
        <f>IF($A107="","",SUMIFS(saisie_hebdo!$M:$M,saisie_hebdo!$I:$I,$A107))</f>
        <v/>
      </c>
      <c r="I107" s="14">
        <f>IF(OR($A107="",L107=0),"",IF(D107="Pourcentage",IF(H107&gt;0,G107/H107*100,""),G107))</f>
        <v/>
      </c>
      <c r="J107" s="15">
        <f>IF(OR(I107="",F107="",F107=0),"",I107/F107)</f>
        <v/>
      </c>
      <c r="K107" s="12">
        <f>IF(OR($A107="",L107=0),"",IF(_xlfn.MAXIFS(saisie_hebdo!$C:$C,saisie_hebdo!$I:$I,$A107)=0,"",_xlfn.MAXIFS(saisie_hebdo!$C:$C,saisie_hebdo!$I:$I,$A107)))</f>
        <v/>
      </c>
      <c r="L107" s="12">
        <f>IF($A107="","",COUNTIFS(saisie_hebdo!$I:$I,$A107))</f>
        <v/>
      </c>
      <c r="M107" s="12">
        <f>IF($A107="","",IF(L107=0,"Non rapporté",IF(F107="","Suivi sans cible",IF(D107="Pourcentage",IF(I107&gt;=F107,"Cible atteinte","Sous la cible"),IF(J107&gt;=1,"Cible atteinte","En cours")))))</f>
        <v/>
      </c>
    </row>
    <row r="108">
      <c r="A108" s="12">
        <f>IFERROR(INDEX(ref_indicateurs!$A:$A,105)&amp;"","")</f>
        <v/>
      </c>
      <c r="B108" s="12">
        <f>IF($A108="","",INDEX(ref_indicateurs!$B:$B,MATCH($A108,ref_indicateurs!$A:$A,0))&amp;"")</f>
        <v/>
      </c>
      <c r="C108" s="12">
        <f>IF($A108="","",INDEX(ref_indicateurs!$C:$C,MATCH($A108,ref_indicateurs!$A:$A,0))&amp;"")</f>
        <v/>
      </c>
      <c r="D108" s="12">
        <f>IF($A108="","",INDEX(ref_indicateurs!$E:$E,MATCH($A108,ref_indicateurs!$A:$A,0))&amp;"")</f>
        <v/>
      </c>
      <c r="E108" s="12">
        <f>IF($A108="","",INDEX(ref_indicateurs!$M:$M,MATCH($A108,ref_indicateurs!$A:$A,0))&amp;"")</f>
        <v/>
      </c>
      <c r="F108" s="12">
        <f>IF($A108="","",IF(INDEX(ref_indicateurs!$O:$O,MATCH($A108,ref_indicateurs!$A:$A,0))="","",INDEX(ref_indicateurs!$O:$O,MATCH($A108,ref_indicateurs!$A:$A,0))))</f>
        <v/>
      </c>
      <c r="G108" s="13">
        <f>IF($A108="","",SUMIFS(saisie_hebdo!$L:$L,saisie_hebdo!$I:$I,$A108))</f>
        <v/>
      </c>
      <c r="H108" s="13">
        <f>IF($A108="","",SUMIFS(saisie_hebdo!$M:$M,saisie_hebdo!$I:$I,$A108))</f>
        <v/>
      </c>
      <c r="I108" s="14">
        <f>IF(OR($A108="",L108=0),"",IF(D108="Pourcentage",IF(H108&gt;0,G108/H108*100,""),G108))</f>
        <v/>
      </c>
      <c r="J108" s="15">
        <f>IF(OR(I108="",F108="",F108=0),"",I108/F108)</f>
        <v/>
      </c>
      <c r="K108" s="12">
        <f>IF(OR($A108="",L108=0),"",IF(_xlfn.MAXIFS(saisie_hebdo!$C:$C,saisie_hebdo!$I:$I,$A108)=0,"",_xlfn.MAXIFS(saisie_hebdo!$C:$C,saisie_hebdo!$I:$I,$A108)))</f>
        <v/>
      </c>
      <c r="L108" s="12">
        <f>IF($A108="","",COUNTIFS(saisie_hebdo!$I:$I,$A108))</f>
        <v/>
      </c>
      <c r="M108" s="12">
        <f>IF($A108="","",IF(L108=0,"Non rapporté",IF(F108="","Suivi sans cible",IF(D108="Pourcentage",IF(I108&gt;=F108,"Cible atteinte","Sous la cible"),IF(J108&gt;=1,"Cible atteinte","En cours")))))</f>
        <v/>
      </c>
    </row>
    <row r="109">
      <c r="A109" s="12">
        <f>IFERROR(INDEX(ref_indicateurs!$A:$A,106)&amp;"","")</f>
        <v/>
      </c>
      <c r="B109" s="12">
        <f>IF($A109="","",INDEX(ref_indicateurs!$B:$B,MATCH($A109,ref_indicateurs!$A:$A,0))&amp;"")</f>
        <v/>
      </c>
      <c r="C109" s="12">
        <f>IF($A109="","",INDEX(ref_indicateurs!$C:$C,MATCH($A109,ref_indicateurs!$A:$A,0))&amp;"")</f>
        <v/>
      </c>
      <c r="D109" s="12">
        <f>IF($A109="","",INDEX(ref_indicateurs!$E:$E,MATCH($A109,ref_indicateurs!$A:$A,0))&amp;"")</f>
        <v/>
      </c>
      <c r="E109" s="12">
        <f>IF($A109="","",INDEX(ref_indicateurs!$M:$M,MATCH($A109,ref_indicateurs!$A:$A,0))&amp;"")</f>
        <v/>
      </c>
      <c r="F109" s="12">
        <f>IF($A109="","",IF(INDEX(ref_indicateurs!$O:$O,MATCH($A109,ref_indicateurs!$A:$A,0))="","",INDEX(ref_indicateurs!$O:$O,MATCH($A109,ref_indicateurs!$A:$A,0))))</f>
        <v/>
      </c>
      <c r="G109" s="13">
        <f>IF($A109="","",SUMIFS(saisie_hebdo!$L:$L,saisie_hebdo!$I:$I,$A109))</f>
        <v/>
      </c>
      <c r="H109" s="13">
        <f>IF($A109="","",SUMIFS(saisie_hebdo!$M:$M,saisie_hebdo!$I:$I,$A109))</f>
        <v/>
      </c>
      <c r="I109" s="14">
        <f>IF(OR($A109="",L109=0),"",IF(D109="Pourcentage",IF(H109&gt;0,G109/H109*100,""),G109))</f>
        <v/>
      </c>
      <c r="J109" s="15">
        <f>IF(OR(I109="",F109="",F109=0),"",I109/F109)</f>
        <v/>
      </c>
      <c r="K109" s="12">
        <f>IF(OR($A109="",L109=0),"",IF(_xlfn.MAXIFS(saisie_hebdo!$C:$C,saisie_hebdo!$I:$I,$A109)=0,"",_xlfn.MAXIFS(saisie_hebdo!$C:$C,saisie_hebdo!$I:$I,$A109)))</f>
        <v/>
      </c>
      <c r="L109" s="12">
        <f>IF($A109="","",COUNTIFS(saisie_hebdo!$I:$I,$A109))</f>
        <v/>
      </c>
      <c r="M109" s="12">
        <f>IF($A109="","",IF(L109=0,"Non rapporté",IF(F109="","Suivi sans cible",IF(D109="Pourcentage",IF(I109&gt;=F109,"Cible atteinte","Sous la cible"),IF(J109&gt;=1,"Cible atteinte","En cours")))))</f>
        <v/>
      </c>
    </row>
    <row r="110">
      <c r="A110" s="12">
        <f>IFERROR(INDEX(ref_indicateurs!$A:$A,107)&amp;"","")</f>
        <v/>
      </c>
      <c r="B110" s="12">
        <f>IF($A110="","",INDEX(ref_indicateurs!$B:$B,MATCH($A110,ref_indicateurs!$A:$A,0))&amp;"")</f>
        <v/>
      </c>
      <c r="C110" s="12">
        <f>IF($A110="","",INDEX(ref_indicateurs!$C:$C,MATCH($A110,ref_indicateurs!$A:$A,0))&amp;"")</f>
        <v/>
      </c>
      <c r="D110" s="12">
        <f>IF($A110="","",INDEX(ref_indicateurs!$E:$E,MATCH($A110,ref_indicateurs!$A:$A,0))&amp;"")</f>
        <v/>
      </c>
      <c r="E110" s="12">
        <f>IF($A110="","",INDEX(ref_indicateurs!$M:$M,MATCH($A110,ref_indicateurs!$A:$A,0))&amp;"")</f>
        <v/>
      </c>
      <c r="F110" s="12">
        <f>IF($A110="","",IF(INDEX(ref_indicateurs!$O:$O,MATCH($A110,ref_indicateurs!$A:$A,0))="","",INDEX(ref_indicateurs!$O:$O,MATCH($A110,ref_indicateurs!$A:$A,0))))</f>
        <v/>
      </c>
      <c r="G110" s="13">
        <f>IF($A110="","",SUMIFS(saisie_hebdo!$L:$L,saisie_hebdo!$I:$I,$A110))</f>
        <v/>
      </c>
      <c r="H110" s="13">
        <f>IF($A110="","",SUMIFS(saisie_hebdo!$M:$M,saisie_hebdo!$I:$I,$A110))</f>
        <v/>
      </c>
      <c r="I110" s="14">
        <f>IF(OR($A110="",L110=0),"",IF(D110="Pourcentage",IF(H110&gt;0,G110/H110*100,""),G110))</f>
        <v/>
      </c>
      <c r="J110" s="15">
        <f>IF(OR(I110="",F110="",F110=0),"",I110/F110)</f>
        <v/>
      </c>
      <c r="K110" s="12">
        <f>IF(OR($A110="",L110=0),"",IF(_xlfn.MAXIFS(saisie_hebdo!$C:$C,saisie_hebdo!$I:$I,$A110)=0,"",_xlfn.MAXIFS(saisie_hebdo!$C:$C,saisie_hebdo!$I:$I,$A110)))</f>
        <v/>
      </c>
      <c r="L110" s="12">
        <f>IF($A110="","",COUNTIFS(saisie_hebdo!$I:$I,$A110))</f>
        <v/>
      </c>
      <c r="M110" s="12">
        <f>IF($A110="","",IF(L110=0,"Non rapporté",IF(F110="","Suivi sans cible",IF(D110="Pourcentage",IF(I110&gt;=F110,"Cible atteinte","Sous la cible"),IF(J110&gt;=1,"Cible atteinte","En cours")))))</f>
        <v/>
      </c>
    </row>
    <row r="111">
      <c r="A111" s="12">
        <f>IFERROR(INDEX(ref_indicateurs!$A:$A,108)&amp;"","")</f>
        <v/>
      </c>
      <c r="B111" s="12">
        <f>IF($A111="","",INDEX(ref_indicateurs!$B:$B,MATCH($A111,ref_indicateurs!$A:$A,0))&amp;"")</f>
        <v/>
      </c>
      <c r="C111" s="12">
        <f>IF($A111="","",INDEX(ref_indicateurs!$C:$C,MATCH($A111,ref_indicateurs!$A:$A,0))&amp;"")</f>
        <v/>
      </c>
      <c r="D111" s="12">
        <f>IF($A111="","",INDEX(ref_indicateurs!$E:$E,MATCH($A111,ref_indicateurs!$A:$A,0))&amp;"")</f>
        <v/>
      </c>
      <c r="E111" s="12">
        <f>IF($A111="","",INDEX(ref_indicateurs!$M:$M,MATCH($A111,ref_indicateurs!$A:$A,0))&amp;"")</f>
        <v/>
      </c>
      <c r="F111" s="12">
        <f>IF($A111="","",IF(INDEX(ref_indicateurs!$O:$O,MATCH($A111,ref_indicateurs!$A:$A,0))="","",INDEX(ref_indicateurs!$O:$O,MATCH($A111,ref_indicateurs!$A:$A,0))))</f>
        <v/>
      </c>
      <c r="G111" s="13">
        <f>IF($A111="","",SUMIFS(saisie_hebdo!$L:$L,saisie_hebdo!$I:$I,$A111))</f>
        <v/>
      </c>
      <c r="H111" s="13">
        <f>IF($A111="","",SUMIFS(saisie_hebdo!$M:$M,saisie_hebdo!$I:$I,$A111))</f>
        <v/>
      </c>
      <c r="I111" s="14">
        <f>IF(OR($A111="",L111=0),"",IF(D111="Pourcentage",IF(H111&gt;0,G111/H111*100,""),G111))</f>
        <v/>
      </c>
      <c r="J111" s="15">
        <f>IF(OR(I111="",F111="",F111=0),"",I111/F111)</f>
        <v/>
      </c>
      <c r="K111" s="12">
        <f>IF(OR($A111="",L111=0),"",IF(_xlfn.MAXIFS(saisie_hebdo!$C:$C,saisie_hebdo!$I:$I,$A111)=0,"",_xlfn.MAXIFS(saisie_hebdo!$C:$C,saisie_hebdo!$I:$I,$A111)))</f>
        <v/>
      </c>
      <c r="L111" s="12">
        <f>IF($A111="","",COUNTIFS(saisie_hebdo!$I:$I,$A111))</f>
        <v/>
      </c>
      <c r="M111" s="12">
        <f>IF($A111="","",IF(L111=0,"Non rapporté",IF(F111="","Suivi sans cible",IF(D111="Pourcentage",IF(I111&gt;=F111,"Cible atteinte","Sous la cible"),IF(J111&gt;=1,"Cible atteinte","En cours")))))</f>
        <v/>
      </c>
    </row>
    <row r="112">
      <c r="A112" s="12">
        <f>IFERROR(INDEX(ref_indicateurs!$A:$A,109)&amp;"","")</f>
        <v/>
      </c>
      <c r="B112" s="12">
        <f>IF($A112="","",INDEX(ref_indicateurs!$B:$B,MATCH($A112,ref_indicateurs!$A:$A,0))&amp;"")</f>
        <v/>
      </c>
      <c r="C112" s="12">
        <f>IF($A112="","",INDEX(ref_indicateurs!$C:$C,MATCH($A112,ref_indicateurs!$A:$A,0))&amp;"")</f>
        <v/>
      </c>
      <c r="D112" s="12">
        <f>IF($A112="","",INDEX(ref_indicateurs!$E:$E,MATCH($A112,ref_indicateurs!$A:$A,0))&amp;"")</f>
        <v/>
      </c>
      <c r="E112" s="12">
        <f>IF($A112="","",INDEX(ref_indicateurs!$M:$M,MATCH($A112,ref_indicateurs!$A:$A,0))&amp;"")</f>
        <v/>
      </c>
      <c r="F112" s="12">
        <f>IF($A112="","",IF(INDEX(ref_indicateurs!$O:$O,MATCH($A112,ref_indicateurs!$A:$A,0))="","",INDEX(ref_indicateurs!$O:$O,MATCH($A112,ref_indicateurs!$A:$A,0))))</f>
        <v/>
      </c>
      <c r="G112" s="13">
        <f>IF($A112="","",SUMIFS(saisie_hebdo!$L:$L,saisie_hebdo!$I:$I,$A112))</f>
        <v/>
      </c>
      <c r="H112" s="13">
        <f>IF($A112="","",SUMIFS(saisie_hebdo!$M:$M,saisie_hebdo!$I:$I,$A112))</f>
        <v/>
      </c>
      <c r="I112" s="14">
        <f>IF(OR($A112="",L112=0),"",IF(D112="Pourcentage",IF(H112&gt;0,G112/H112*100,""),G112))</f>
        <v/>
      </c>
      <c r="J112" s="15">
        <f>IF(OR(I112="",F112="",F112=0),"",I112/F112)</f>
        <v/>
      </c>
      <c r="K112" s="12">
        <f>IF(OR($A112="",L112=0),"",IF(_xlfn.MAXIFS(saisie_hebdo!$C:$C,saisie_hebdo!$I:$I,$A112)=0,"",_xlfn.MAXIFS(saisie_hebdo!$C:$C,saisie_hebdo!$I:$I,$A112)))</f>
        <v/>
      </c>
      <c r="L112" s="12">
        <f>IF($A112="","",COUNTIFS(saisie_hebdo!$I:$I,$A112))</f>
        <v/>
      </c>
      <c r="M112" s="12">
        <f>IF($A112="","",IF(L112=0,"Non rapporté",IF(F112="","Suivi sans cible",IF(D112="Pourcentage",IF(I112&gt;=F112,"Cible atteinte","Sous la cible"),IF(J112&gt;=1,"Cible atteinte","En cours")))))</f>
        <v/>
      </c>
    </row>
    <row r="113">
      <c r="A113" s="12">
        <f>IFERROR(INDEX(ref_indicateurs!$A:$A,110)&amp;"","")</f>
        <v/>
      </c>
      <c r="B113" s="12">
        <f>IF($A113="","",INDEX(ref_indicateurs!$B:$B,MATCH($A113,ref_indicateurs!$A:$A,0))&amp;"")</f>
        <v/>
      </c>
      <c r="C113" s="12">
        <f>IF($A113="","",INDEX(ref_indicateurs!$C:$C,MATCH($A113,ref_indicateurs!$A:$A,0))&amp;"")</f>
        <v/>
      </c>
      <c r="D113" s="12">
        <f>IF($A113="","",INDEX(ref_indicateurs!$E:$E,MATCH($A113,ref_indicateurs!$A:$A,0))&amp;"")</f>
        <v/>
      </c>
      <c r="E113" s="12">
        <f>IF($A113="","",INDEX(ref_indicateurs!$M:$M,MATCH($A113,ref_indicateurs!$A:$A,0))&amp;"")</f>
        <v/>
      </c>
      <c r="F113" s="12">
        <f>IF($A113="","",IF(INDEX(ref_indicateurs!$O:$O,MATCH($A113,ref_indicateurs!$A:$A,0))="","",INDEX(ref_indicateurs!$O:$O,MATCH($A113,ref_indicateurs!$A:$A,0))))</f>
        <v/>
      </c>
      <c r="G113" s="13">
        <f>IF($A113="","",SUMIFS(saisie_hebdo!$L:$L,saisie_hebdo!$I:$I,$A113))</f>
        <v/>
      </c>
      <c r="H113" s="13">
        <f>IF($A113="","",SUMIFS(saisie_hebdo!$M:$M,saisie_hebdo!$I:$I,$A113))</f>
        <v/>
      </c>
      <c r="I113" s="14">
        <f>IF(OR($A113="",L113=0),"",IF(D113="Pourcentage",IF(H113&gt;0,G113/H113*100,""),G113))</f>
        <v/>
      </c>
      <c r="J113" s="15">
        <f>IF(OR(I113="",F113="",F113=0),"",I113/F113)</f>
        <v/>
      </c>
      <c r="K113" s="12">
        <f>IF(OR($A113="",L113=0),"",IF(_xlfn.MAXIFS(saisie_hebdo!$C:$C,saisie_hebdo!$I:$I,$A113)=0,"",_xlfn.MAXIFS(saisie_hebdo!$C:$C,saisie_hebdo!$I:$I,$A113)))</f>
        <v/>
      </c>
      <c r="L113" s="12">
        <f>IF($A113="","",COUNTIFS(saisie_hebdo!$I:$I,$A113))</f>
        <v/>
      </c>
      <c r="M113" s="12">
        <f>IF($A113="","",IF(L113=0,"Non rapporté",IF(F113="","Suivi sans cible",IF(D113="Pourcentage",IF(I113&gt;=F113,"Cible atteinte","Sous la cible"),IF(J113&gt;=1,"Cible atteinte","En cours")))))</f>
        <v/>
      </c>
    </row>
    <row r="114">
      <c r="A114" s="12">
        <f>IFERROR(INDEX(ref_indicateurs!$A:$A,111)&amp;"","")</f>
        <v/>
      </c>
      <c r="B114" s="12">
        <f>IF($A114="","",INDEX(ref_indicateurs!$B:$B,MATCH($A114,ref_indicateurs!$A:$A,0))&amp;"")</f>
        <v/>
      </c>
      <c r="C114" s="12">
        <f>IF($A114="","",INDEX(ref_indicateurs!$C:$C,MATCH($A114,ref_indicateurs!$A:$A,0))&amp;"")</f>
        <v/>
      </c>
      <c r="D114" s="12">
        <f>IF($A114="","",INDEX(ref_indicateurs!$E:$E,MATCH($A114,ref_indicateurs!$A:$A,0))&amp;"")</f>
        <v/>
      </c>
      <c r="E114" s="12">
        <f>IF($A114="","",INDEX(ref_indicateurs!$M:$M,MATCH($A114,ref_indicateurs!$A:$A,0))&amp;"")</f>
        <v/>
      </c>
      <c r="F114" s="12">
        <f>IF($A114="","",IF(INDEX(ref_indicateurs!$O:$O,MATCH($A114,ref_indicateurs!$A:$A,0))="","",INDEX(ref_indicateurs!$O:$O,MATCH($A114,ref_indicateurs!$A:$A,0))))</f>
        <v/>
      </c>
      <c r="G114" s="13">
        <f>IF($A114="","",SUMIFS(saisie_hebdo!$L:$L,saisie_hebdo!$I:$I,$A114))</f>
        <v/>
      </c>
      <c r="H114" s="13">
        <f>IF($A114="","",SUMIFS(saisie_hebdo!$M:$M,saisie_hebdo!$I:$I,$A114))</f>
        <v/>
      </c>
      <c r="I114" s="14">
        <f>IF(OR($A114="",L114=0),"",IF(D114="Pourcentage",IF(H114&gt;0,G114/H114*100,""),G114))</f>
        <v/>
      </c>
      <c r="J114" s="15">
        <f>IF(OR(I114="",F114="",F114=0),"",I114/F114)</f>
        <v/>
      </c>
      <c r="K114" s="12">
        <f>IF(OR($A114="",L114=0),"",IF(_xlfn.MAXIFS(saisie_hebdo!$C:$C,saisie_hebdo!$I:$I,$A114)=0,"",_xlfn.MAXIFS(saisie_hebdo!$C:$C,saisie_hebdo!$I:$I,$A114)))</f>
        <v/>
      </c>
      <c r="L114" s="12">
        <f>IF($A114="","",COUNTIFS(saisie_hebdo!$I:$I,$A114))</f>
        <v/>
      </c>
      <c r="M114" s="12">
        <f>IF($A114="","",IF(L114=0,"Non rapporté",IF(F114="","Suivi sans cible",IF(D114="Pourcentage",IF(I114&gt;=F114,"Cible atteinte","Sous la cible"),IF(J114&gt;=1,"Cible atteinte","En cours")))))</f>
        <v/>
      </c>
    </row>
    <row r="115">
      <c r="A115" s="12">
        <f>IFERROR(INDEX(ref_indicateurs!$A:$A,112)&amp;"","")</f>
        <v/>
      </c>
      <c r="B115" s="12">
        <f>IF($A115="","",INDEX(ref_indicateurs!$B:$B,MATCH($A115,ref_indicateurs!$A:$A,0))&amp;"")</f>
        <v/>
      </c>
      <c r="C115" s="12">
        <f>IF($A115="","",INDEX(ref_indicateurs!$C:$C,MATCH($A115,ref_indicateurs!$A:$A,0))&amp;"")</f>
        <v/>
      </c>
      <c r="D115" s="12">
        <f>IF($A115="","",INDEX(ref_indicateurs!$E:$E,MATCH($A115,ref_indicateurs!$A:$A,0))&amp;"")</f>
        <v/>
      </c>
      <c r="E115" s="12">
        <f>IF($A115="","",INDEX(ref_indicateurs!$M:$M,MATCH($A115,ref_indicateurs!$A:$A,0))&amp;"")</f>
        <v/>
      </c>
      <c r="F115" s="12">
        <f>IF($A115="","",IF(INDEX(ref_indicateurs!$O:$O,MATCH($A115,ref_indicateurs!$A:$A,0))="","",INDEX(ref_indicateurs!$O:$O,MATCH($A115,ref_indicateurs!$A:$A,0))))</f>
        <v/>
      </c>
      <c r="G115" s="13">
        <f>IF($A115="","",SUMIFS(saisie_hebdo!$L:$L,saisie_hebdo!$I:$I,$A115))</f>
        <v/>
      </c>
      <c r="H115" s="13">
        <f>IF($A115="","",SUMIFS(saisie_hebdo!$M:$M,saisie_hebdo!$I:$I,$A115))</f>
        <v/>
      </c>
      <c r="I115" s="14">
        <f>IF(OR($A115="",L115=0),"",IF(D115="Pourcentage",IF(H115&gt;0,G115/H115*100,""),G115))</f>
        <v/>
      </c>
      <c r="J115" s="15">
        <f>IF(OR(I115="",F115="",F115=0),"",I115/F115)</f>
        <v/>
      </c>
      <c r="K115" s="12">
        <f>IF(OR($A115="",L115=0),"",IF(_xlfn.MAXIFS(saisie_hebdo!$C:$C,saisie_hebdo!$I:$I,$A115)=0,"",_xlfn.MAXIFS(saisie_hebdo!$C:$C,saisie_hebdo!$I:$I,$A115)))</f>
        <v/>
      </c>
      <c r="L115" s="12">
        <f>IF($A115="","",COUNTIFS(saisie_hebdo!$I:$I,$A115))</f>
        <v/>
      </c>
      <c r="M115" s="12">
        <f>IF($A115="","",IF(L115=0,"Non rapporté",IF(F115="","Suivi sans cible",IF(D115="Pourcentage",IF(I115&gt;=F115,"Cible atteinte","Sous la cible"),IF(J115&gt;=1,"Cible atteinte","En cours")))))</f>
        <v/>
      </c>
    </row>
    <row r="116">
      <c r="A116" s="12">
        <f>IFERROR(INDEX(ref_indicateurs!$A:$A,113)&amp;"","")</f>
        <v/>
      </c>
      <c r="B116" s="12">
        <f>IF($A116="","",INDEX(ref_indicateurs!$B:$B,MATCH($A116,ref_indicateurs!$A:$A,0))&amp;"")</f>
        <v/>
      </c>
      <c r="C116" s="12">
        <f>IF($A116="","",INDEX(ref_indicateurs!$C:$C,MATCH($A116,ref_indicateurs!$A:$A,0))&amp;"")</f>
        <v/>
      </c>
      <c r="D116" s="12">
        <f>IF($A116="","",INDEX(ref_indicateurs!$E:$E,MATCH($A116,ref_indicateurs!$A:$A,0))&amp;"")</f>
        <v/>
      </c>
      <c r="E116" s="12">
        <f>IF($A116="","",INDEX(ref_indicateurs!$M:$M,MATCH($A116,ref_indicateurs!$A:$A,0))&amp;"")</f>
        <v/>
      </c>
      <c r="F116" s="12">
        <f>IF($A116="","",IF(INDEX(ref_indicateurs!$O:$O,MATCH($A116,ref_indicateurs!$A:$A,0))="","",INDEX(ref_indicateurs!$O:$O,MATCH($A116,ref_indicateurs!$A:$A,0))))</f>
        <v/>
      </c>
      <c r="G116" s="13">
        <f>IF($A116="","",SUMIFS(saisie_hebdo!$L:$L,saisie_hebdo!$I:$I,$A116))</f>
        <v/>
      </c>
      <c r="H116" s="13">
        <f>IF($A116="","",SUMIFS(saisie_hebdo!$M:$M,saisie_hebdo!$I:$I,$A116))</f>
        <v/>
      </c>
      <c r="I116" s="14">
        <f>IF(OR($A116="",L116=0),"",IF(D116="Pourcentage",IF(H116&gt;0,G116/H116*100,""),G116))</f>
        <v/>
      </c>
      <c r="J116" s="15">
        <f>IF(OR(I116="",F116="",F116=0),"",I116/F116)</f>
        <v/>
      </c>
      <c r="K116" s="12">
        <f>IF(OR($A116="",L116=0),"",IF(_xlfn.MAXIFS(saisie_hebdo!$C:$C,saisie_hebdo!$I:$I,$A116)=0,"",_xlfn.MAXIFS(saisie_hebdo!$C:$C,saisie_hebdo!$I:$I,$A116)))</f>
        <v/>
      </c>
      <c r="L116" s="12">
        <f>IF($A116="","",COUNTIFS(saisie_hebdo!$I:$I,$A116))</f>
        <v/>
      </c>
      <c r="M116" s="12">
        <f>IF($A116="","",IF(L116=0,"Non rapporté",IF(F116="","Suivi sans cible",IF(D116="Pourcentage",IF(I116&gt;=F116,"Cible atteinte","Sous la cible"),IF(J116&gt;=1,"Cible atteinte","En cours")))))</f>
        <v/>
      </c>
    </row>
    <row r="117">
      <c r="A117" s="12">
        <f>IFERROR(INDEX(ref_indicateurs!$A:$A,114)&amp;"","")</f>
        <v/>
      </c>
      <c r="B117" s="12">
        <f>IF($A117="","",INDEX(ref_indicateurs!$B:$B,MATCH($A117,ref_indicateurs!$A:$A,0))&amp;"")</f>
        <v/>
      </c>
      <c r="C117" s="12">
        <f>IF($A117="","",INDEX(ref_indicateurs!$C:$C,MATCH($A117,ref_indicateurs!$A:$A,0))&amp;"")</f>
        <v/>
      </c>
      <c r="D117" s="12">
        <f>IF($A117="","",INDEX(ref_indicateurs!$E:$E,MATCH($A117,ref_indicateurs!$A:$A,0))&amp;"")</f>
        <v/>
      </c>
      <c r="E117" s="12">
        <f>IF($A117="","",INDEX(ref_indicateurs!$M:$M,MATCH($A117,ref_indicateurs!$A:$A,0))&amp;"")</f>
        <v/>
      </c>
      <c r="F117" s="12">
        <f>IF($A117="","",IF(INDEX(ref_indicateurs!$O:$O,MATCH($A117,ref_indicateurs!$A:$A,0))="","",INDEX(ref_indicateurs!$O:$O,MATCH($A117,ref_indicateurs!$A:$A,0))))</f>
        <v/>
      </c>
      <c r="G117" s="13">
        <f>IF($A117="","",SUMIFS(saisie_hebdo!$L:$L,saisie_hebdo!$I:$I,$A117))</f>
        <v/>
      </c>
      <c r="H117" s="13">
        <f>IF($A117="","",SUMIFS(saisie_hebdo!$M:$M,saisie_hebdo!$I:$I,$A117))</f>
        <v/>
      </c>
      <c r="I117" s="14">
        <f>IF(OR($A117="",L117=0),"",IF(D117="Pourcentage",IF(H117&gt;0,G117/H117*100,""),G117))</f>
        <v/>
      </c>
      <c r="J117" s="15">
        <f>IF(OR(I117="",F117="",F117=0),"",I117/F117)</f>
        <v/>
      </c>
      <c r="K117" s="12">
        <f>IF(OR($A117="",L117=0),"",IF(_xlfn.MAXIFS(saisie_hebdo!$C:$C,saisie_hebdo!$I:$I,$A117)=0,"",_xlfn.MAXIFS(saisie_hebdo!$C:$C,saisie_hebdo!$I:$I,$A117)))</f>
        <v/>
      </c>
      <c r="L117" s="12">
        <f>IF($A117="","",COUNTIFS(saisie_hebdo!$I:$I,$A117))</f>
        <v/>
      </c>
      <c r="M117" s="12">
        <f>IF($A117="","",IF(L117=0,"Non rapporté",IF(F117="","Suivi sans cible",IF(D117="Pourcentage",IF(I117&gt;=F117,"Cible atteinte","Sous la cible"),IF(J117&gt;=1,"Cible atteinte","En cours")))))</f>
        <v/>
      </c>
    </row>
    <row r="118">
      <c r="A118" s="12">
        <f>IFERROR(INDEX(ref_indicateurs!$A:$A,115)&amp;"","")</f>
        <v/>
      </c>
      <c r="B118" s="12">
        <f>IF($A118="","",INDEX(ref_indicateurs!$B:$B,MATCH($A118,ref_indicateurs!$A:$A,0))&amp;"")</f>
        <v/>
      </c>
      <c r="C118" s="12">
        <f>IF($A118="","",INDEX(ref_indicateurs!$C:$C,MATCH($A118,ref_indicateurs!$A:$A,0))&amp;"")</f>
        <v/>
      </c>
      <c r="D118" s="12">
        <f>IF($A118="","",INDEX(ref_indicateurs!$E:$E,MATCH($A118,ref_indicateurs!$A:$A,0))&amp;"")</f>
        <v/>
      </c>
      <c r="E118" s="12">
        <f>IF($A118="","",INDEX(ref_indicateurs!$M:$M,MATCH($A118,ref_indicateurs!$A:$A,0))&amp;"")</f>
        <v/>
      </c>
      <c r="F118" s="12">
        <f>IF($A118="","",IF(INDEX(ref_indicateurs!$O:$O,MATCH($A118,ref_indicateurs!$A:$A,0))="","",INDEX(ref_indicateurs!$O:$O,MATCH($A118,ref_indicateurs!$A:$A,0))))</f>
        <v/>
      </c>
      <c r="G118" s="13">
        <f>IF($A118="","",SUMIFS(saisie_hebdo!$L:$L,saisie_hebdo!$I:$I,$A118))</f>
        <v/>
      </c>
      <c r="H118" s="13">
        <f>IF($A118="","",SUMIFS(saisie_hebdo!$M:$M,saisie_hebdo!$I:$I,$A118))</f>
        <v/>
      </c>
      <c r="I118" s="14">
        <f>IF(OR($A118="",L118=0),"",IF(D118="Pourcentage",IF(H118&gt;0,G118/H118*100,""),G118))</f>
        <v/>
      </c>
      <c r="J118" s="15">
        <f>IF(OR(I118="",F118="",F118=0),"",I118/F118)</f>
        <v/>
      </c>
      <c r="K118" s="12">
        <f>IF(OR($A118="",L118=0),"",IF(_xlfn.MAXIFS(saisie_hebdo!$C:$C,saisie_hebdo!$I:$I,$A118)=0,"",_xlfn.MAXIFS(saisie_hebdo!$C:$C,saisie_hebdo!$I:$I,$A118)))</f>
        <v/>
      </c>
      <c r="L118" s="12">
        <f>IF($A118="","",COUNTIFS(saisie_hebdo!$I:$I,$A118))</f>
        <v/>
      </c>
      <c r="M118" s="12">
        <f>IF($A118="","",IF(L118=0,"Non rapporté",IF(F118="","Suivi sans cible",IF(D118="Pourcentage",IF(I118&gt;=F118,"Cible atteinte","Sous la cible"),IF(J118&gt;=1,"Cible atteinte","En cours")))))</f>
        <v/>
      </c>
    </row>
    <row r="119">
      <c r="A119" s="12">
        <f>IFERROR(INDEX(ref_indicateurs!$A:$A,116)&amp;"","")</f>
        <v/>
      </c>
      <c r="B119" s="12">
        <f>IF($A119="","",INDEX(ref_indicateurs!$B:$B,MATCH($A119,ref_indicateurs!$A:$A,0))&amp;"")</f>
        <v/>
      </c>
      <c r="C119" s="12">
        <f>IF($A119="","",INDEX(ref_indicateurs!$C:$C,MATCH($A119,ref_indicateurs!$A:$A,0))&amp;"")</f>
        <v/>
      </c>
      <c r="D119" s="12">
        <f>IF($A119="","",INDEX(ref_indicateurs!$E:$E,MATCH($A119,ref_indicateurs!$A:$A,0))&amp;"")</f>
        <v/>
      </c>
      <c r="E119" s="12">
        <f>IF($A119="","",INDEX(ref_indicateurs!$M:$M,MATCH($A119,ref_indicateurs!$A:$A,0))&amp;"")</f>
        <v/>
      </c>
      <c r="F119" s="12">
        <f>IF($A119="","",IF(INDEX(ref_indicateurs!$O:$O,MATCH($A119,ref_indicateurs!$A:$A,0))="","",INDEX(ref_indicateurs!$O:$O,MATCH($A119,ref_indicateurs!$A:$A,0))))</f>
        <v/>
      </c>
      <c r="G119" s="13">
        <f>IF($A119="","",SUMIFS(saisie_hebdo!$L:$L,saisie_hebdo!$I:$I,$A119))</f>
        <v/>
      </c>
      <c r="H119" s="13">
        <f>IF($A119="","",SUMIFS(saisie_hebdo!$M:$M,saisie_hebdo!$I:$I,$A119))</f>
        <v/>
      </c>
      <c r="I119" s="14">
        <f>IF(OR($A119="",L119=0),"",IF(D119="Pourcentage",IF(H119&gt;0,G119/H119*100,""),G119))</f>
        <v/>
      </c>
      <c r="J119" s="15">
        <f>IF(OR(I119="",F119="",F119=0),"",I119/F119)</f>
        <v/>
      </c>
      <c r="K119" s="12">
        <f>IF(OR($A119="",L119=0),"",IF(_xlfn.MAXIFS(saisie_hebdo!$C:$C,saisie_hebdo!$I:$I,$A119)=0,"",_xlfn.MAXIFS(saisie_hebdo!$C:$C,saisie_hebdo!$I:$I,$A119)))</f>
        <v/>
      </c>
      <c r="L119" s="12">
        <f>IF($A119="","",COUNTIFS(saisie_hebdo!$I:$I,$A119))</f>
        <v/>
      </c>
      <c r="M119" s="12">
        <f>IF($A119="","",IF(L119=0,"Non rapporté",IF(F119="","Suivi sans cible",IF(D119="Pourcentage",IF(I119&gt;=F119,"Cible atteinte","Sous la cible"),IF(J119&gt;=1,"Cible atteinte","En cours")))))</f>
        <v/>
      </c>
    </row>
    <row r="120">
      <c r="A120" s="12">
        <f>IFERROR(INDEX(ref_indicateurs!$A:$A,117)&amp;"","")</f>
        <v/>
      </c>
      <c r="B120" s="12">
        <f>IF($A120="","",INDEX(ref_indicateurs!$B:$B,MATCH($A120,ref_indicateurs!$A:$A,0))&amp;"")</f>
        <v/>
      </c>
      <c r="C120" s="12">
        <f>IF($A120="","",INDEX(ref_indicateurs!$C:$C,MATCH($A120,ref_indicateurs!$A:$A,0))&amp;"")</f>
        <v/>
      </c>
      <c r="D120" s="12">
        <f>IF($A120="","",INDEX(ref_indicateurs!$E:$E,MATCH($A120,ref_indicateurs!$A:$A,0))&amp;"")</f>
        <v/>
      </c>
      <c r="E120" s="12">
        <f>IF($A120="","",INDEX(ref_indicateurs!$M:$M,MATCH($A120,ref_indicateurs!$A:$A,0))&amp;"")</f>
        <v/>
      </c>
      <c r="F120" s="12">
        <f>IF($A120="","",IF(INDEX(ref_indicateurs!$O:$O,MATCH($A120,ref_indicateurs!$A:$A,0))="","",INDEX(ref_indicateurs!$O:$O,MATCH($A120,ref_indicateurs!$A:$A,0))))</f>
        <v/>
      </c>
      <c r="G120" s="13">
        <f>IF($A120="","",SUMIFS(saisie_hebdo!$L:$L,saisie_hebdo!$I:$I,$A120))</f>
        <v/>
      </c>
      <c r="H120" s="13">
        <f>IF($A120="","",SUMIFS(saisie_hebdo!$M:$M,saisie_hebdo!$I:$I,$A120))</f>
        <v/>
      </c>
      <c r="I120" s="14">
        <f>IF(OR($A120="",L120=0),"",IF(D120="Pourcentage",IF(H120&gt;0,G120/H120*100,""),G120))</f>
        <v/>
      </c>
      <c r="J120" s="15">
        <f>IF(OR(I120="",F120="",F120=0),"",I120/F120)</f>
        <v/>
      </c>
      <c r="K120" s="12">
        <f>IF(OR($A120="",L120=0),"",IF(_xlfn.MAXIFS(saisie_hebdo!$C:$C,saisie_hebdo!$I:$I,$A120)=0,"",_xlfn.MAXIFS(saisie_hebdo!$C:$C,saisie_hebdo!$I:$I,$A120)))</f>
        <v/>
      </c>
      <c r="L120" s="12">
        <f>IF($A120="","",COUNTIFS(saisie_hebdo!$I:$I,$A120))</f>
        <v/>
      </c>
      <c r="M120" s="12">
        <f>IF($A120="","",IF(L120=0,"Non rapporté",IF(F120="","Suivi sans cible",IF(D120="Pourcentage",IF(I120&gt;=F120,"Cible atteinte","Sous la cible"),IF(J120&gt;=1,"Cible atteinte","En cours")))))</f>
        <v/>
      </c>
    </row>
    <row r="121">
      <c r="A121" s="12">
        <f>IFERROR(INDEX(ref_indicateurs!$A:$A,118)&amp;"","")</f>
        <v/>
      </c>
      <c r="B121" s="12">
        <f>IF($A121="","",INDEX(ref_indicateurs!$B:$B,MATCH($A121,ref_indicateurs!$A:$A,0))&amp;"")</f>
        <v/>
      </c>
      <c r="C121" s="12">
        <f>IF($A121="","",INDEX(ref_indicateurs!$C:$C,MATCH($A121,ref_indicateurs!$A:$A,0))&amp;"")</f>
        <v/>
      </c>
      <c r="D121" s="12">
        <f>IF($A121="","",INDEX(ref_indicateurs!$E:$E,MATCH($A121,ref_indicateurs!$A:$A,0))&amp;"")</f>
        <v/>
      </c>
      <c r="E121" s="12">
        <f>IF($A121="","",INDEX(ref_indicateurs!$M:$M,MATCH($A121,ref_indicateurs!$A:$A,0))&amp;"")</f>
        <v/>
      </c>
      <c r="F121" s="12">
        <f>IF($A121="","",IF(INDEX(ref_indicateurs!$O:$O,MATCH($A121,ref_indicateurs!$A:$A,0))="","",INDEX(ref_indicateurs!$O:$O,MATCH($A121,ref_indicateurs!$A:$A,0))))</f>
        <v/>
      </c>
      <c r="G121" s="13">
        <f>IF($A121="","",SUMIFS(saisie_hebdo!$L:$L,saisie_hebdo!$I:$I,$A121))</f>
        <v/>
      </c>
      <c r="H121" s="13">
        <f>IF($A121="","",SUMIFS(saisie_hebdo!$M:$M,saisie_hebdo!$I:$I,$A121))</f>
        <v/>
      </c>
      <c r="I121" s="14">
        <f>IF(OR($A121="",L121=0),"",IF(D121="Pourcentage",IF(H121&gt;0,G121/H121*100,""),G121))</f>
        <v/>
      </c>
      <c r="J121" s="15">
        <f>IF(OR(I121="",F121="",F121=0),"",I121/F121)</f>
        <v/>
      </c>
      <c r="K121" s="12">
        <f>IF(OR($A121="",L121=0),"",IF(_xlfn.MAXIFS(saisie_hebdo!$C:$C,saisie_hebdo!$I:$I,$A121)=0,"",_xlfn.MAXIFS(saisie_hebdo!$C:$C,saisie_hebdo!$I:$I,$A121)))</f>
        <v/>
      </c>
      <c r="L121" s="12">
        <f>IF($A121="","",COUNTIFS(saisie_hebdo!$I:$I,$A121))</f>
        <v/>
      </c>
      <c r="M121" s="12">
        <f>IF($A121="","",IF(L121=0,"Non rapporté",IF(F121="","Suivi sans cible",IF(D121="Pourcentage",IF(I121&gt;=F121,"Cible atteinte","Sous la cible"),IF(J121&gt;=1,"Cible atteinte","En cours")))))</f>
        <v/>
      </c>
    </row>
    <row r="122">
      <c r="A122" s="12">
        <f>IFERROR(INDEX(ref_indicateurs!$A:$A,119)&amp;"","")</f>
        <v/>
      </c>
      <c r="B122" s="12">
        <f>IF($A122="","",INDEX(ref_indicateurs!$B:$B,MATCH($A122,ref_indicateurs!$A:$A,0))&amp;"")</f>
        <v/>
      </c>
      <c r="C122" s="12">
        <f>IF($A122="","",INDEX(ref_indicateurs!$C:$C,MATCH($A122,ref_indicateurs!$A:$A,0))&amp;"")</f>
        <v/>
      </c>
      <c r="D122" s="12">
        <f>IF($A122="","",INDEX(ref_indicateurs!$E:$E,MATCH($A122,ref_indicateurs!$A:$A,0))&amp;"")</f>
        <v/>
      </c>
      <c r="E122" s="12">
        <f>IF($A122="","",INDEX(ref_indicateurs!$M:$M,MATCH($A122,ref_indicateurs!$A:$A,0))&amp;"")</f>
        <v/>
      </c>
      <c r="F122" s="12">
        <f>IF($A122="","",IF(INDEX(ref_indicateurs!$O:$O,MATCH($A122,ref_indicateurs!$A:$A,0))="","",INDEX(ref_indicateurs!$O:$O,MATCH($A122,ref_indicateurs!$A:$A,0))))</f>
        <v/>
      </c>
      <c r="G122" s="13">
        <f>IF($A122="","",SUMIFS(saisie_hebdo!$L:$L,saisie_hebdo!$I:$I,$A122))</f>
        <v/>
      </c>
      <c r="H122" s="13">
        <f>IF($A122="","",SUMIFS(saisie_hebdo!$M:$M,saisie_hebdo!$I:$I,$A122))</f>
        <v/>
      </c>
      <c r="I122" s="14">
        <f>IF(OR($A122="",L122=0),"",IF(D122="Pourcentage",IF(H122&gt;0,G122/H122*100,""),G122))</f>
        <v/>
      </c>
      <c r="J122" s="15">
        <f>IF(OR(I122="",F122="",F122=0),"",I122/F122)</f>
        <v/>
      </c>
      <c r="K122" s="12">
        <f>IF(OR($A122="",L122=0),"",IF(_xlfn.MAXIFS(saisie_hebdo!$C:$C,saisie_hebdo!$I:$I,$A122)=0,"",_xlfn.MAXIFS(saisie_hebdo!$C:$C,saisie_hebdo!$I:$I,$A122)))</f>
        <v/>
      </c>
      <c r="L122" s="12">
        <f>IF($A122="","",COUNTIFS(saisie_hebdo!$I:$I,$A122))</f>
        <v/>
      </c>
      <c r="M122" s="12">
        <f>IF($A122="","",IF(L122=0,"Non rapporté",IF(F122="","Suivi sans cible",IF(D122="Pourcentage",IF(I122&gt;=F122,"Cible atteinte","Sous la cible"),IF(J122&gt;=1,"Cible atteinte","En cours")))))</f>
        <v/>
      </c>
    </row>
    <row r="123">
      <c r="A123" s="12">
        <f>IFERROR(INDEX(ref_indicateurs!$A:$A,120)&amp;"","")</f>
        <v/>
      </c>
      <c r="B123" s="12">
        <f>IF($A123="","",INDEX(ref_indicateurs!$B:$B,MATCH($A123,ref_indicateurs!$A:$A,0))&amp;"")</f>
        <v/>
      </c>
      <c r="C123" s="12">
        <f>IF($A123="","",INDEX(ref_indicateurs!$C:$C,MATCH($A123,ref_indicateurs!$A:$A,0))&amp;"")</f>
        <v/>
      </c>
      <c r="D123" s="12">
        <f>IF($A123="","",INDEX(ref_indicateurs!$E:$E,MATCH($A123,ref_indicateurs!$A:$A,0))&amp;"")</f>
        <v/>
      </c>
      <c r="E123" s="12">
        <f>IF($A123="","",INDEX(ref_indicateurs!$M:$M,MATCH($A123,ref_indicateurs!$A:$A,0))&amp;"")</f>
        <v/>
      </c>
      <c r="F123" s="12">
        <f>IF($A123="","",IF(INDEX(ref_indicateurs!$O:$O,MATCH($A123,ref_indicateurs!$A:$A,0))="","",INDEX(ref_indicateurs!$O:$O,MATCH($A123,ref_indicateurs!$A:$A,0))))</f>
        <v/>
      </c>
      <c r="G123" s="13">
        <f>IF($A123="","",SUMIFS(saisie_hebdo!$L:$L,saisie_hebdo!$I:$I,$A123))</f>
        <v/>
      </c>
      <c r="H123" s="13">
        <f>IF($A123="","",SUMIFS(saisie_hebdo!$M:$M,saisie_hebdo!$I:$I,$A123))</f>
        <v/>
      </c>
      <c r="I123" s="14">
        <f>IF(OR($A123="",L123=0),"",IF(D123="Pourcentage",IF(H123&gt;0,G123/H123*100,""),G123))</f>
        <v/>
      </c>
      <c r="J123" s="15">
        <f>IF(OR(I123="",F123="",F123=0),"",I123/F123)</f>
        <v/>
      </c>
      <c r="K123" s="12">
        <f>IF(OR($A123="",L123=0),"",IF(_xlfn.MAXIFS(saisie_hebdo!$C:$C,saisie_hebdo!$I:$I,$A123)=0,"",_xlfn.MAXIFS(saisie_hebdo!$C:$C,saisie_hebdo!$I:$I,$A123)))</f>
        <v/>
      </c>
      <c r="L123" s="12">
        <f>IF($A123="","",COUNTIFS(saisie_hebdo!$I:$I,$A123))</f>
        <v/>
      </c>
      <c r="M123" s="12">
        <f>IF($A123="","",IF(L123=0,"Non rapporté",IF(F123="","Suivi sans cible",IF(D123="Pourcentage",IF(I123&gt;=F123,"Cible atteinte","Sous la cible"),IF(J123&gt;=1,"Cible atteinte","En cours")))))</f>
        <v/>
      </c>
    </row>
    <row r="124">
      <c r="A124" s="12">
        <f>IFERROR(INDEX(ref_indicateurs!$A:$A,121)&amp;"","")</f>
        <v/>
      </c>
      <c r="B124" s="12">
        <f>IF($A124="","",INDEX(ref_indicateurs!$B:$B,MATCH($A124,ref_indicateurs!$A:$A,0))&amp;"")</f>
        <v/>
      </c>
      <c r="C124" s="12">
        <f>IF($A124="","",INDEX(ref_indicateurs!$C:$C,MATCH($A124,ref_indicateurs!$A:$A,0))&amp;"")</f>
        <v/>
      </c>
      <c r="D124" s="12">
        <f>IF($A124="","",INDEX(ref_indicateurs!$E:$E,MATCH($A124,ref_indicateurs!$A:$A,0))&amp;"")</f>
        <v/>
      </c>
      <c r="E124" s="12">
        <f>IF($A124="","",INDEX(ref_indicateurs!$M:$M,MATCH($A124,ref_indicateurs!$A:$A,0))&amp;"")</f>
        <v/>
      </c>
      <c r="F124" s="12">
        <f>IF($A124="","",IF(INDEX(ref_indicateurs!$O:$O,MATCH($A124,ref_indicateurs!$A:$A,0))="","",INDEX(ref_indicateurs!$O:$O,MATCH($A124,ref_indicateurs!$A:$A,0))))</f>
        <v/>
      </c>
      <c r="G124" s="13">
        <f>IF($A124="","",SUMIFS(saisie_hebdo!$L:$L,saisie_hebdo!$I:$I,$A124))</f>
        <v/>
      </c>
      <c r="H124" s="13">
        <f>IF($A124="","",SUMIFS(saisie_hebdo!$M:$M,saisie_hebdo!$I:$I,$A124))</f>
        <v/>
      </c>
      <c r="I124" s="14">
        <f>IF(OR($A124="",L124=0),"",IF(D124="Pourcentage",IF(H124&gt;0,G124/H124*100,""),G124))</f>
        <v/>
      </c>
      <c r="J124" s="15">
        <f>IF(OR(I124="",F124="",F124=0),"",I124/F124)</f>
        <v/>
      </c>
      <c r="K124" s="12">
        <f>IF(OR($A124="",L124=0),"",IF(_xlfn.MAXIFS(saisie_hebdo!$C:$C,saisie_hebdo!$I:$I,$A124)=0,"",_xlfn.MAXIFS(saisie_hebdo!$C:$C,saisie_hebdo!$I:$I,$A124)))</f>
        <v/>
      </c>
      <c r="L124" s="12">
        <f>IF($A124="","",COUNTIFS(saisie_hebdo!$I:$I,$A124))</f>
        <v/>
      </c>
      <c r="M124" s="12">
        <f>IF($A124="","",IF(L124=0,"Non rapporté",IF(F124="","Suivi sans cible",IF(D124="Pourcentage",IF(I124&gt;=F124,"Cible atteinte","Sous la cible"),IF(J124&gt;=1,"Cible atteinte","En cours")))))</f>
        <v/>
      </c>
    </row>
    <row r="125">
      <c r="A125" s="12">
        <f>IFERROR(INDEX(ref_indicateurs!$A:$A,122)&amp;"","")</f>
        <v/>
      </c>
      <c r="B125" s="12">
        <f>IF($A125="","",INDEX(ref_indicateurs!$B:$B,MATCH($A125,ref_indicateurs!$A:$A,0))&amp;"")</f>
        <v/>
      </c>
      <c r="C125" s="12">
        <f>IF($A125="","",INDEX(ref_indicateurs!$C:$C,MATCH($A125,ref_indicateurs!$A:$A,0))&amp;"")</f>
        <v/>
      </c>
      <c r="D125" s="12">
        <f>IF($A125="","",INDEX(ref_indicateurs!$E:$E,MATCH($A125,ref_indicateurs!$A:$A,0))&amp;"")</f>
        <v/>
      </c>
      <c r="E125" s="12">
        <f>IF($A125="","",INDEX(ref_indicateurs!$M:$M,MATCH($A125,ref_indicateurs!$A:$A,0))&amp;"")</f>
        <v/>
      </c>
      <c r="F125" s="12">
        <f>IF($A125="","",IF(INDEX(ref_indicateurs!$O:$O,MATCH($A125,ref_indicateurs!$A:$A,0))="","",INDEX(ref_indicateurs!$O:$O,MATCH($A125,ref_indicateurs!$A:$A,0))))</f>
        <v/>
      </c>
      <c r="G125" s="13">
        <f>IF($A125="","",SUMIFS(saisie_hebdo!$L:$L,saisie_hebdo!$I:$I,$A125))</f>
        <v/>
      </c>
      <c r="H125" s="13">
        <f>IF($A125="","",SUMIFS(saisie_hebdo!$M:$M,saisie_hebdo!$I:$I,$A125))</f>
        <v/>
      </c>
      <c r="I125" s="14">
        <f>IF(OR($A125="",L125=0),"",IF(D125="Pourcentage",IF(H125&gt;0,G125/H125*100,""),G125))</f>
        <v/>
      </c>
      <c r="J125" s="15">
        <f>IF(OR(I125="",F125="",F125=0),"",I125/F125)</f>
        <v/>
      </c>
      <c r="K125" s="12">
        <f>IF(OR($A125="",L125=0),"",IF(_xlfn.MAXIFS(saisie_hebdo!$C:$C,saisie_hebdo!$I:$I,$A125)=0,"",_xlfn.MAXIFS(saisie_hebdo!$C:$C,saisie_hebdo!$I:$I,$A125)))</f>
        <v/>
      </c>
      <c r="L125" s="12">
        <f>IF($A125="","",COUNTIFS(saisie_hebdo!$I:$I,$A125))</f>
        <v/>
      </c>
      <c r="M125" s="12">
        <f>IF($A125="","",IF(L125=0,"Non rapporté",IF(F125="","Suivi sans cible",IF(D125="Pourcentage",IF(I125&gt;=F125,"Cible atteinte","Sous la cible"),IF(J125&gt;=1,"Cible atteinte","En cours")))))</f>
        <v/>
      </c>
    </row>
    <row r="126">
      <c r="A126" s="12">
        <f>IFERROR(INDEX(ref_indicateurs!$A:$A,123)&amp;"","")</f>
        <v/>
      </c>
      <c r="B126" s="12">
        <f>IF($A126="","",INDEX(ref_indicateurs!$B:$B,MATCH($A126,ref_indicateurs!$A:$A,0))&amp;"")</f>
        <v/>
      </c>
      <c r="C126" s="12">
        <f>IF($A126="","",INDEX(ref_indicateurs!$C:$C,MATCH($A126,ref_indicateurs!$A:$A,0))&amp;"")</f>
        <v/>
      </c>
      <c r="D126" s="12">
        <f>IF($A126="","",INDEX(ref_indicateurs!$E:$E,MATCH($A126,ref_indicateurs!$A:$A,0))&amp;"")</f>
        <v/>
      </c>
      <c r="E126" s="12">
        <f>IF($A126="","",INDEX(ref_indicateurs!$M:$M,MATCH($A126,ref_indicateurs!$A:$A,0))&amp;"")</f>
        <v/>
      </c>
      <c r="F126" s="12">
        <f>IF($A126="","",IF(INDEX(ref_indicateurs!$O:$O,MATCH($A126,ref_indicateurs!$A:$A,0))="","",INDEX(ref_indicateurs!$O:$O,MATCH($A126,ref_indicateurs!$A:$A,0))))</f>
        <v/>
      </c>
      <c r="G126" s="13">
        <f>IF($A126="","",SUMIFS(saisie_hebdo!$L:$L,saisie_hebdo!$I:$I,$A126))</f>
        <v/>
      </c>
      <c r="H126" s="13">
        <f>IF($A126="","",SUMIFS(saisie_hebdo!$M:$M,saisie_hebdo!$I:$I,$A126))</f>
        <v/>
      </c>
      <c r="I126" s="14">
        <f>IF(OR($A126="",L126=0),"",IF(D126="Pourcentage",IF(H126&gt;0,G126/H126*100,""),G126))</f>
        <v/>
      </c>
      <c r="J126" s="15">
        <f>IF(OR(I126="",F126="",F126=0),"",I126/F126)</f>
        <v/>
      </c>
      <c r="K126" s="12">
        <f>IF(OR($A126="",L126=0),"",IF(_xlfn.MAXIFS(saisie_hebdo!$C:$C,saisie_hebdo!$I:$I,$A126)=0,"",_xlfn.MAXIFS(saisie_hebdo!$C:$C,saisie_hebdo!$I:$I,$A126)))</f>
        <v/>
      </c>
      <c r="L126" s="12">
        <f>IF($A126="","",COUNTIFS(saisie_hebdo!$I:$I,$A126))</f>
        <v/>
      </c>
      <c r="M126" s="12">
        <f>IF($A126="","",IF(L126=0,"Non rapporté",IF(F126="","Suivi sans cible",IF(D126="Pourcentage",IF(I126&gt;=F126,"Cible atteinte","Sous la cible"),IF(J126&gt;=1,"Cible atteinte","En cours")))))</f>
        <v/>
      </c>
    </row>
    <row r="127">
      <c r="A127" s="12">
        <f>IFERROR(INDEX(ref_indicateurs!$A:$A,124)&amp;"","")</f>
        <v/>
      </c>
      <c r="B127" s="12">
        <f>IF($A127="","",INDEX(ref_indicateurs!$B:$B,MATCH($A127,ref_indicateurs!$A:$A,0))&amp;"")</f>
        <v/>
      </c>
      <c r="C127" s="12">
        <f>IF($A127="","",INDEX(ref_indicateurs!$C:$C,MATCH($A127,ref_indicateurs!$A:$A,0))&amp;"")</f>
        <v/>
      </c>
      <c r="D127" s="12">
        <f>IF($A127="","",INDEX(ref_indicateurs!$E:$E,MATCH($A127,ref_indicateurs!$A:$A,0))&amp;"")</f>
        <v/>
      </c>
      <c r="E127" s="12">
        <f>IF($A127="","",INDEX(ref_indicateurs!$M:$M,MATCH($A127,ref_indicateurs!$A:$A,0))&amp;"")</f>
        <v/>
      </c>
      <c r="F127" s="12">
        <f>IF($A127="","",IF(INDEX(ref_indicateurs!$O:$O,MATCH($A127,ref_indicateurs!$A:$A,0))="","",INDEX(ref_indicateurs!$O:$O,MATCH($A127,ref_indicateurs!$A:$A,0))))</f>
        <v/>
      </c>
      <c r="G127" s="13">
        <f>IF($A127="","",SUMIFS(saisie_hebdo!$L:$L,saisie_hebdo!$I:$I,$A127))</f>
        <v/>
      </c>
      <c r="H127" s="13">
        <f>IF($A127="","",SUMIFS(saisie_hebdo!$M:$M,saisie_hebdo!$I:$I,$A127))</f>
        <v/>
      </c>
      <c r="I127" s="14">
        <f>IF(OR($A127="",L127=0),"",IF(D127="Pourcentage",IF(H127&gt;0,G127/H127*100,""),G127))</f>
        <v/>
      </c>
      <c r="J127" s="15">
        <f>IF(OR(I127="",F127="",F127=0),"",I127/F127)</f>
        <v/>
      </c>
      <c r="K127" s="12">
        <f>IF(OR($A127="",L127=0),"",IF(_xlfn.MAXIFS(saisie_hebdo!$C:$C,saisie_hebdo!$I:$I,$A127)=0,"",_xlfn.MAXIFS(saisie_hebdo!$C:$C,saisie_hebdo!$I:$I,$A127)))</f>
        <v/>
      </c>
      <c r="L127" s="12">
        <f>IF($A127="","",COUNTIFS(saisie_hebdo!$I:$I,$A127))</f>
        <v/>
      </c>
      <c r="M127" s="12">
        <f>IF($A127="","",IF(L127=0,"Non rapporté",IF(F127="","Suivi sans cible",IF(D127="Pourcentage",IF(I127&gt;=F127,"Cible atteinte","Sous la cible"),IF(J127&gt;=1,"Cible atteinte","En cours")))))</f>
        <v/>
      </c>
    </row>
    <row r="128">
      <c r="A128" s="12">
        <f>IFERROR(INDEX(ref_indicateurs!$A:$A,125)&amp;"","")</f>
        <v/>
      </c>
      <c r="B128" s="12">
        <f>IF($A128="","",INDEX(ref_indicateurs!$B:$B,MATCH($A128,ref_indicateurs!$A:$A,0))&amp;"")</f>
        <v/>
      </c>
      <c r="C128" s="12">
        <f>IF($A128="","",INDEX(ref_indicateurs!$C:$C,MATCH($A128,ref_indicateurs!$A:$A,0))&amp;"")</f>
        <v/>
      </c>
      <c r="D128" s="12">
        <f>IF($A128="","",INDEX(ref_indicateurs!$E:$E,MATCH($A128,ref_indicateurs!$A:$A,0))&amp;"")</f>
        <v/>
      </c>
      <c r="E128" s="12">
        <f>IF($A128="","",INDEX(ref_indicateurs!$M:$M,MATCH($A128,ref_indicateurs!$A:$A,0))&amp;"")</f>
        <v/>
      </c>
      <c r="F128" s="12">
        <f>IF($A128="","",IF(INDEX(ref_indicateurs!$O:$O,MATCH($A128,ref_indicateurs!$A:$A,0))="","",INDEX(ref_indicateurs!$O:$O,MATCH($A128,ref_indicateurs!$A:$A,0))))</f>
        <v/>
      </c>
      <c r="G128" s="13">
        <f>IF($A128="","",SUMIFS(saisie_hebdo!$L:$L,saisie_hebdo!$I:$I,$A128))</f>
        <v/>
      </c>
      <c r="H128" s="13">
        <f>IF($A128="","",SUMIFS(saisie_hebdo!$M:$M,saisie_hebdo!$I:$I,$A128))</f>
        <v/>
      </c>
      <c r="I128" s="14">
        <f>IF(OR($A128="",L128=0),"",IF(D128="Pourcentage",IF(H128&gt;0,G128/H128*100,""),G128))</f>
        <v/>
      </c>
      <c r="J128" s="15">
        <f>IF(OR(I128="",F128="",F128=0),"",I128/F128)</f>
        <v/>
      </c>
      <c r="K128" s="12">
        <f>IF(OR($A128="",L128=0),"",IF(_xlfn.MAXIFS(saisie_hebdo!$C:$C,saisie_hebdo!$I:$I,$A128)=0,"",_xlfn.MAXIFS(saisie_hebdo!$C:$C,saisie_hebdo!$I:$I,$A128)))</f>
        <v/>
      </c>
      <c r="L128" s="12">
        <f>IF($A128="","",COUNTIFS(saisie_hebdo!$I:$I,$A128))</f>
        <v/>
      </c>
      <c r="M128" s="12">
        <f>IF($A128="","",IF(L128=0,"Non rapporté",IF(F128="","Suivi sans cible",IF(D128="Pourcentage",IF(I128&gt;=F128,"Cible atteinte","Sous la cible"),IF(J128&gt;=1,"Cible atteinte","En cours")))))</f>
        <v/>
      </c>
    </row>
    <row r="129">
      <c r="A129" s="12">
        <f>IFERROR(INDEX(ref_indicateurs!$A:$A,126)&amp;"","")</f>
        <v/>
      </c>
      <c r="B129" s="12">
        <f>IF($A129="","",INDEX(ref_indicateurs!$B:$B,MATCH($A129,ref_indicateurs!$A:$A,0))&amp;"")</f>
        <v/>
      </c>
      <c r="C129" s="12">
        <f>IF($A129="","",INDEX(ref_indicateurs!$C:$C,MATCH($A129,ref_indicateurs!$A:$A,0))&amp;"")</f>
        <v/>
      </c>
      <c r="D129" s="12">
        <f>IF($A129="","",INDEX(ref_indicateurs!$E:$E,MATCH($A129,ref_indicateurs!$A:$A,0))&amp;"")</f>
        <v/>
      </c>
      <c r="E129" s="12">
        <f>IF($A129="","",INDEX(ref_indicateurs!$M:$M,MATCH($A129,ref_indicateurs!$A:$A,0))&amp;"")</f>
        <v/>
      </c>
      <c r="F129" s="12">
        <f>IF($A129="","",IF(INDEX(ref_indicateurs!$O:$O,MATCH($A129,ref_indicateurs!$A:$A,0))="","",INDEX(ref_indicateurs!$O:$O,MATCH($A129,ref_indicateurs!$A:$A,0))))</f>
        <v/>
      </c>
      <c r="G129" s="13">
        <f>IF($A129="","",SUMIFS(saisie_hebdo!$L:$L,saisie_hebdo!$I:$I,$A129))</f>
        <v/>
      </c>
      <c r="H129" s="13">
        <f>IF($A129="","",SUMIFS(saisie_hebdo!$M:$M,saisie_hebdo!$I:$I,$A129))</f>
        <v/>
      </c>
      <c r="I129" s="14">
        <f>IF(OR($A129="",L129=0),"",IF(D129="Pourcentage",IF(H129&gt;0,G129/H129*100,""),G129))</f>
        <v/>
      </c>
      <c r="J129" s="15">
        <f>IF(OR(I129="",F129="",F129=0),"",I129/F129)</f>
        <v/>
      </c>
      <c r="K129" s="12">
        <f>IF(OR($A129="",L129=0),"",IF(_xlfn.MAXIFS(saisie_hebdo!$C:$C,saisie_hebdo!$I:$I,$A129)=0,"",_xlfn.MAXIFS(saisie_hebdo!$C:$C,saisie_hebdo!$I:$I,$A129)))</f>
        <v/>
      </c>
      <c r="L129" s="12">
        <f>IF($A129="","",COUNTIFS(saisie_hebdo!$I:$I,$A129))</f>
        <v/>
      </c>
      <c r="M129" s="12">
        <f>IF($A129="","",IF(L129=0,"Non rapporté",IF(F129="","Suivi sans cible",IF(D129="Pourcentage",IF(I129&gt;=F129,"Cible atteinte","Sous la cible"),IF(J129&gt;=1,"Cible atteinte","En cours")))))</f>
        <v/>
      </c>
    </row>
    <row r="130">
      <c r="A130" s="12">
        <f>IFERROR(INDEX(ref_indicateurs!$A:$A,127)&amp;"","")</f>
        <v/>
      </c>
      <c r="B130" s="12">
        <f>IF($A130="","",INDEX(ref_indicateurs!$B:$B,MATCH($A130,ref_indicateurs!$A:$A,0))&amp;"")</f>
        <v/>
      </c>
      <c r="C130" s="12">
        <f>IF($A130="","",INDEX(ref_indicateurs!$C:$C,MATCH($A130,ref_indicateurs!$A:$A,0))&amp;"")</f>
        <v/>
      </c>
      <c r="D130" s="12">
        <f>IF($A130="","",INDEX(ref_indicateurs!$E:$E,MATCH($A130,ref_indicateurs!$A:$A,0))&amp;"")</f>
        <v/>
      </c>
      <c r="E130" s="12">
        <f>IF($A130="","",INDEX(ref_indicateurs!$M:$M,MATCH($A130,ref_indicateurs!$A:$A,0))&amp;"")</f>
        <v/>
      </c>
      <c r="F130" s="12">
        <f>IF($A130="","",IF(INDEX(ref_indicateurs!$O:$O,MATCH($A130,ref_indicateurs!$A:$A,0))="","",INDEX(ref_indicateurs!$O:$O,MATCH($A130,ref_indicateurs!$A:$A,0))))</f>
        <v/>
      </c>
      <c r="G130" s="13">
        <f>IF($A130="","",SUMIFS(saisie_hebdo!$L:$L,saisie_hebdo!$I:$I,$A130))</f>
        <v/>
      </c>
      <c r="H130" s="13">
        <f>IF($A130="","",SUMIFS(saisie_hebdo!$M:$M,saisie_hebdo!$I:$I,$A130))</f>
        <v/>
      </c>
      <c r="I130" s="14">
        <f>IF(OR($A130="",L130=0),"",IF(D130="Pourcentage",IF(H130&gt;0,G130/H130*100,""),G130))</f>
        <v/>
      </c>
      <c r="J130" s="15">
        <f>IF(OR(I130="",F130="",F130=0),"",I130/F130)</f>
        <v/>
      </c>
      <c r="K130" s="12">
        <f>IF(OR($A130="",L130=0),"",IF(_xlfn.MAXIFS(saisie_hebdo!$C:$C,saisie_hebdo!$I:$I,$A130)=0,"",_xlfn.MAXIFS(saisie_hebdo!$C:$C,saisie_hebdo!$I:$I,$A130)))</f>
        <v/>
      </c>
      <c r="L130" s="12">
        <f>IF($A130="","",COUNTIFS(saisie_hebdo!$I:$I,$A130))</f>
        <v/>
      </c>
      <c r="M130" s="12">
        <f>IF($A130="","",IF(L130=0,"Non rapporté",IF(F130="","Suivi sans cible",IF(D130="Pourcentage",IF(I130&gt;=F130,"Cible atteinte","Sous la cible"),IF(J130&gt;=1,"Cible atteinte","En cours")))))</f>
        <v/>
      </c>
    </row>
    <row r="131">
      <c r="A131" s="12">
        <f>IFERROR(INDEX(ref_indicateurs!$A:$A,128)&amp;"","")</f>
        <v/>
      </c>
      <c r="B131" s="12">
        <f>IF($A131="","",INDEX(ref_indicateurs!$B:$B,MATCH($A131,ref_indicateurs!$A:$A,0))&amp;"")</f>
        <v/>
      </c>
      <c r="C131" s="12">
        <f>IF($A131="","",INDEX(ref_indicateurs!$C:$C,MATCH($A131,ref_indicateurs!$A:$A,0))&amp;"")</f>
        <v/>
      </c>
      <c r="D131" s="12">
        <f>IF($A131="","",INDEX(ref_indicateurs!$E:$E,MATCH($A131,ref_indicateurs!$A:$A,0))&amp;"")</f>
        <v/>
      </c>
      <c r="E131" s="12">
        <f>IF($A131="","",INDEX(ref_indicateurs!$M:$M,MATCH($A131,ref_indicateurs!$A:$A,0))&amp;"")</f>
        <v/>
      </c>
      <c r="F131" s="12">
        <f>IF($A131="","",IF(INDEX(ref_indicateurs!$O:$O,MATCH($A131,ref_indicateurs!$A:$A,0))="","",INDEX(ref_indicateurs!$O:$O,MATCH($A131,ref_indicateurs!$A:$A,0))))</f>
        <v/>
      </c>
      <c r="G131" s="13">
        <f>IF($A131="","",SUMIFS(saisie_hebdo!$L:$L,saisie_hebdo!$I:$I,$A131))</f>
        <v/>
      </c>
      <c r="H131" s="13">
        <f>IF($A131="","",SUMIFS(saisie_hebdo!$M:$M,saisie_hebdo!$I:$I,$A131))</f>
        <v/>
      </c>
      <c r="I131" s="14">
        <f>IF(OR($A131="",L131=0),"",IF(D131="Pourcentage",IF(H131&gt;0,G131/H131*100,""),G131))</f>
        <v/>
      </c>
      <c r="J131" s="15">
        <f>IF(OR(I131="",F131="",F131=0),"",I131/F131)</f>
        <v/>
      </c>
      <c r="K131" s="12">
        <f>IF(OR($A131="",L131=0),"",IF(_xlfn.MAXIFS(saisie_hebdo!$C:$C,saisie_hebdo!$I:$I,$A131)=0,"",_xlfn.MAXIFS(saisie_hebdo!$C:$C,saisie_hebdo!$I:$I,$A131)))</f>
        <v/>
      </c>
      <c r="L131" s="12">
        <f>IF($A131="","",COUNTIFS(saisie_hebdo!$I:$I,$A131))</f>
        <v/>
      </c>
      <c r="M131" s="12">
        <f>IF($A131="","",IF(L131=0,"Non rapporté",IF(F131="","Suivi sans cible",IF(D131="Pourcentage",IF(I131&gt;=F131,"Cible atteinte","Sous la cible"),IF(J131&gt;=1,"Cible atteinte","En cours")))))</f>
        <v/>
      </c>
    </row>
    <row r="132">
      <c r="A132" s="12">
        <f>IFERROR(INDEX(ref_indicateurs!$A:$A,129)&amp;"","")</f>
        <v/>
      </c>
      <c r="B132" s="12">
        <f>IF($A132="","",INDEX(ref_indicateurs!$B:$B,MATCH($A132,ref_indicateurs!$A:$A,0))&amp;"")</f>
        <v/>
      </c>
      <c r="C132" s="12">
        <f>IF($A132="","",INDEX(ref_indicateurs!$C:$C,MATCH($A132,ref_indicateurs!$A:$A,0))&amp;"")</f>
        <v/>
      </c>
      <c r="D132" s="12">
        <f>IF($A132="","",INDEX(ref_indicateurs!$E:$E,MATCH($A132,ref_indicateurs!$A:$A,0))&amp;"")</f>
        <v/>
      </c>
      <c r="E132" s="12">
        <f>IF($A132="","",INDEX(ref_indicateurs!$M:$M,MATCH($A132,ref_indicateurs!$A:$A,0))&amp;"")</f>
        <v/>
      </c>
      <c r="F132" s="12">
        <f>IF($A132="","",IF(INDEX(ref_indicateurs!$O:$O,MATCH($A132,ref_indicateurs!$A:$A,0))="","",INDEX(ref_indicateurs!$O:$O,MATCH($A132,ref_indicateurs!$A:$A,0))))</f>
        <v/>
      </c>
      <c r="G132" s="13">
        <f>IF($A132="","",SUMIFS(saisie_hebdo!$L:$L,saisie_hebdo!$I:$I,$A132))</f>
        <v/>
      </c>
      <c r="H132" s="13">
        <f>IF($A132="","",SUMIFS(saisie_hebdo!$M:$M,saisie_hebdo!$I:$I,$A132))</f>
        <v/>
      </c>
      <c r="I132" s="14">
        <f>IF(OR($A132="",L132=0),"",IF(D132="Pourcentage",IF(H132&gt;0,G132/H132*100,""),G132))</f>
        <v/>
      </c>
      <c r="J132" s="15">
        <f>IF(OR(I132="",F132="",F132=0),"",I132/F132)</f>
        <v/>
      </c>
      <c r="K132" s="12">
        <f>IF(OR($A132="",L132=0),"",IF(_xlfn.MAXIFS(saisie_hebdo!$C:$C,saisie_hebdo!$I:$I,$A132)=0,"",_xlfn.MAXIFS(saisie_hebdo!$C:$C,saisie_hebdo!$I:$I,$A132)))</f>
        <v/>
      </c>
      <c r="L132" s="12">
        <f>IF($A132="","",COUNTIFS(saisie_hebdo!$I:$I,$A132))</f>
        <v/>
      </c>
      <c r="M132" s="12">
        <f>IF($A132="","",IF(L132=0,"Non rapporté",IF(F132="","Suivi sans cible",IF(D132="Pourcentage",IF(I132&gt;=F132,"Cible atteinte","Sous la cible"),IF(J132&gt;=1,"Cible atteinte","En cours")))))</f>
        <v/>
      </c>
    </row>
    <row r="133">
      <c r="A133" s="12">
        <f>IFERROR(INDEX(ref_indicateurs!$A:$A,130)&amp;"","")</f>
        <v/>
      </c>
      <c r="B133" s="12">
        <f>IF($A133="","",INDEX(ref_indicateurs!$B:$B,MATCH($A133,ref_indicateurs!$A:$A,0))&amp;"")</f>
        <v/>
      </c>
      <c r="C133" s="12">
        <f>IF($A133="","",INDEX(ref_indicateurs!$C:$C,MATCH($A133,ref_indicateurs!$A:$A,0))&amp;"")</f>
        <v/>
      </c>
      <c r="D133" s="12">
        <f>IF($A133="","",INDEX(ref_indicateurs!$E:$E,MATCH($A133,ref_indicateurs!$A:$A,0))&amp;"")</f>
        <v/>
      </c>
      <c r="E133" s="12">
        <f>IF($A133="","",INDEX(ref_indicateurs!$M:$M,MATCH($A133,ref_indicateurs!$A:$A,0))&amp;"")</f>
        <v/>
      </c>
      <c r="F133" s="12">
        <f>IF($A133="","",IF(INDEX(ref_indicateurs!$O:$O,MATCH($A133,ref_indicateurs!$A:$A,0))="","",INDEX(ref_indicateurs!$O:$O,MATCH($A133,ref_indicateurs!$A:$A,0))))</f>
        <v/>
      </c>
      <c r="G133" s="13">
        <f>IF($A133="","",SUMIFS(saisie_hebdo!$L:$L,saisie_hebdo!$I:$I,$A133))</f>
        <v/>
      </c>
      <c r="H133" s="13">
        <f>IF($A133="","",SUMIFS(saisie_hebdo!$M:$M,saisie_hebdo!$I:$I,$A133))</f>
        <v/>
      </c>
      <c r="I133" s="14">
        <f>IF(OR($A133="",L133=0),"",IF(D133="Pourcentage",IF(H133&gt;0,G133/H133*100,""),G133))</f>
        <v/>
      </c>
      <c r="J133" s="15">
        <f>IF(OR(I133="",F133="",F133=0),"",I133/F133)</f>
        <v/>
      </c>
      <c r="K133" s="12">
        <f>IF(OR($A133="",L133=0),"",IF(_xlfn.MAXIFS(saisie_hebdo!$C:$C,saisie_hebdo!$I:$I,$A133)=0,"",_xlfn.MAXIFS(saisie_hebdo!$C:$C,saisie_hebdo!$I:$I,$A133)))</f>
        <v/>
      </c>
      <c r="L133" s="12">
        <f>IF($A133="","",COUNTIFS(saisie_hebdo!$I:$I,$A133))</f>
        <v/>
      </c>
      <c r="M133" s="12">
        <f>IF($A133="","",IF(L133=0,"Non rapporté",IF(F133="","Suivi sans cible",IF(D133="Pourcentage",IF(I133&gt;=F133,"Cible atteinte","Sous la cible"),IF(J133&gt;=1,"Cible atteinte","En cours")))))</f>
        <v/>
      </c>
    </row>
    <row r="134">
      <c r="A134" s="12">
        <f>IFERROR(INDEX(ref_indicateurs!$A:$A,131)&amp;"","")</f>
        <v/>
      </c>
      <c r="B134" s="12">
        <f>IF($A134="","",INDEX(ref_indicateurs!$B:$B,MATCH($A134,ref_indicateurs!$A:$A,0))&amp;"")</f>
        <v/>
      </c>
      <c r="C134" s="12">
        <f>IF($A134="","",INDEX(ref_indicateurs!$C:$C,MATCH($A134,ref_indicateurs!$A:$A,0))&amp;"")</f>
        <v/>
      </c>
      <c r="D134" s="12">
        <f>IF($A134="","",INDEX(ref_indicateurs!$E:$E,MATCH($A134,ref_indicateurs!$A:$A,0))&amp;"")</f>
        <v/>
      </c>
      <c r="E134" s="12">
        <f>IF($A134="","",INDEX(ref_indicateurs!$M:$M,MATCH($A134,ref_indicateurs!$A:$A,0))&amp;"")</f>
        <v/>
      </c>
      <c r="F134" s="12">
        <f>IF($A134="","",IF(INDEX(ref_indicateurs!$O:$O,MATCH($A134,ref_indicateurs!$A:$A,0))="","",INDEX(ref_indicateurs!$O:$O,MATCH($A134,ref_indicateurs!$A:$A,0))))</f>
        <v/>
      </c>
      <c r="G134" s="13">
        <f>IF($A134="","",SUMIFS(saisie_hebdo!$L:$L,saisie_hebdo!$I:$I,$A134))</f>
        <v/>
      </c>
      <c r="H134" s="13">
        <f>IF($A134="","",SUMIFS(saisie_hebdo!$M:$M,saisie_hebdo!$I:$I,$A134))</f>
        <v/>
      </c>
      <c r="I134" s="14">
        <f>IF(OR($A134="",L134=0),"",IF(D134="Pourcentage",IF(H134&gt;0,G134/H134*100,""),G134))</f>
        <v/>
      </c>
      <c r="J134" s="15">
        <f>IF(OR(I134="",F134="",F134=0),"",I134/F134)</f>
        <v/>
      </c>
      <c r="K134" s="12">
        <f>IF(OR($A134="",L134=0),"",IF(_xlfn.MAXIFS(saisie_hebdo!$C:$C,saisie_hebdo!$I:$I,$A134)=0,"",_xlfn.MAXIFS(saisie_hebdo!$C:$C,saisie_hebdo!$I:$I,$A134)))</f>
        <v/>
      </c>
      <c r="L134" s="12">
        <f>IF($A134="","",COUNTIFS(saisie_hebdo!$I:$I,$A134))</f>
        <v/>
      </c>
      <c r="M134" s="12">
        <f>IF($A134="","",IF(L134=0,"Non rapporté",IF(F134="","Suivi sans cible",IF(D134="Pourcentage",IF(I134&gt;=F134,"Cible atteinte","Sous la cible"),IF(J134&gt;=1,"Cible atteinte","En cours")))))</f>
        <v/>
      </c>
    </row>
    <row r="135">
      <c r="A135" s="12">
        <f>IFERROR(INDEX(ref_indicateurs!$A:$A,132)&amp;"","")</f>
        <v/>
      </c>
      <c r="B135" s="12">
        <f>IF($A135="","",INDEX(ref_indicateurs!$B:$B,MATCH($A135,ref_indicateurs!$A:$A,0))&amp;"")</f>
        <v/>
      </c>
      <c r="C135" s="12">
        <f>IF($A135="","",INDEX(ref_indicateurs!$C:$C,MATCH($A135,ref_indicateurs!$A:$A,0))&amp;"")</f>
        <v/>
      </c>
      <c r="D135" s="12">
        <f>IF($A135="","",INDEX(ref_indicateurs!$E:$E,MATCH($A135,ref_indicateurs!$A:$A,0))&amp;"")</f>
        <v/>
      </c>
      <c r="E135" s="12">
        <f>IF($A135="","",INDEX(ref_indicateurs!$M:$M,MATCH($A135,ref_indicateurs!$A:$A,0))&amp;"")</f>
        <v/>
      </c>
      <c r="F135" s="12">
        <f>IF($A135="","",IF(INDEX(ref_indicateurs!$O:$O,MATCH($A135,ref_indicateurs!$A:$A,0))="","",INDEX(ref_indicateurs!$O:$O,MATCH($A135,ref_indicateurs!$A:$A,0))))</f>
        <v/>
      </c>
      <c r="G135" s="13">
        <f>IF($A135="","",SUMIFS(saisie_hebdo!$L:$L,saisie_hebdo!$I:$I,$A135))</f>
        <v/>
      </c>
      <c r="H135" s="13">
        <f>IF($A135="","",SUMIFS(saisie_hebdo!$M:$M,saisie_hebdo!$I:$I,$A135))</f>
        <v/>
      </c>
      <c r="I135" s="14">
        <f>IF(OR($A135="",L135=0),"",IF(D135="Pourcentage",IF(H135&gt;0,G135/H135*100,""),G135))</f>
        <v/>
      </c>
      <c r="J135" s="15">
        <f>IF(OR(I135="",F135="",F135=0),"",I135/F135)</f>
        <v/>
      </c>
      <c r="K135" s="12">
        <f>IF(OR($A135="",L135=0),"",IF(_xlfn.MAXIFS(saisie_hebdo!$C:$C,saisie_hebdo!$I:$I,$A135)=0,"",_xlfn.MAXIFS(saisie_hebdo!$C:$C,saisie_hebdo!$I:$I,$A135)))</f>
        <v/>
      </c>
      <c r="L135" s="12">
        <f>IF($A135="","",COUNTIFS(saisie_hebdo!$I:$I,$A135))</f>
        <v/>
      </c>
      <c r="M135" s="12">
        <f>IF($A135="","",IF(L135=0,"Non rapporté",IF(F135="","Suivi sans cible",IF(D135="Pourcentage",IF(I135&gt;=F135,"Cible atteinte","Sous la cible"),IF(J135&gt;=1,"Cible atteinte","En cours")))))</f>
        <v/>
      </c>
    </row>
    <row r="136">
      <c r="A136" s="12">
        <f>IFERROR(INDEX(ref_indicateurs!$A:$A,133)&amp;"","")</f>
        <v/>
      </c>
      <c r="B136" s="12">
        <f>IF($A136="","",INDEX(ref_indicateurs!$B:$B,MATCH($A136,ref_indicateurs!$A:$A,0))&amp;"")</f>
        <v/>
      </c>
      <c r="C136" s="12">
        <f>IF($A136="","",INDEX(ref_indicateurs!$C:$C,MATCH($A136,ref_indicateurs!$A:$A,0))&amp;"")</f>
        <v/>
      </c>
      <c r="D136" s="12">
        <f>IF($A136="","",INDEX(ref_indicateurs!$E:$E,MATCH($A136,ref_indicateurs!$A:$A,0))&amp;"")</f>
        <v/>
      </c>
      <c r="E136" s="12">
        <f>IF($A136="","",INDEX(ref_indicateurs!$M:$M,MATCH($A136,ref_indicateurs!$A:$A,0))&amp;"")</f>
        <v/>
      </c>
      <c r="F136" s="12">
        <f>IF($A136="","",IF(INDEX(ref_indicateurs!$O:$O,MATCH($A136,ref_indicateurs!$A:$A,0))="","",INDEX(ref_indicateurs!$O:$O,MATCH($A136,ref_indicateurs!$A:$A,0))))</f>
        <v/>
      </c>
      <c r="G136" s="13">
        <f>IF($A136="","",SUMIFS(saisie_hebdo!$L:$L,saisie_hebdo!$I:$I,$A136))</f>
        <v/>
      </c>
      <c r="H136" s="13">
        <f>IF($A136="","",SUMIFS(saisie_hebdo!$M:$M,saisie_hebdo!$I:$I,$A136))</f>
        <v/>
      </c>
      <c r="I136" s="14">
        <f>IF(OR($A136="",L136=0),"",IF(D136="Pourcentage",IF(H136&gt;0,G136/H136*100,""),G136))</f>
        <v/>
      </c>
      <c r="J136" s="15">
        <f>IF(OR(I136="",F136="",F136=0),"",I136/F136)</f>
        <v/>
      </c>
      <c r="K136" s="12">
        <f>IF(OR($A136="",L136=0),"",IF(_xlfn.MAXIFS(saisie_hebdo!$C:$C,saisie_hebdo!$I:$I,$A136)=0,"",_xlfn.MAXIFS(saisie_hebdo!$C:$C,saisie_hebdo!$I:$I,$A136)))</f>
        <v/>
      </c>
      <c r="L136" s="12">
        <f>IF($A136="","",COUNTIFS(saisie_hebdo!$I:$I,$A136))</f>
        <v/>
      </c>
      <c r="M136" s="12">
        <f>IF($A136="","",IF(L136=0,"Non rapporté",IF(F136="","Suivi sans cible",IF(D136="Pourcentage",IF(I136&gt;=F136,"Cible atteinte","Sous la cible"),IF(J136&gt;=1,"Cible atteinte","En cours")))))</f>
        <v/>
      </c>
    </row>
    <row r="137">
      <c r="A137" s="12">
        <f>IFERROR(INDEX(ref_indicateurs!$A:$A,134)&amp;"","")</f>
        <v/>
      </c>
      <c r="B137" s="12">
        <f>IF($A137="","",INDEX(ref_indicateurs!$B:$B,MATCH($A137,ref_indicateurs!$A:$A,0))&amp;"")</f>
        <v/>
      </c>
      <c r="C137" s="12">
        <f>IF($A137="","",INDEX(ref_indicateurs!$C:$C,MATCH($A137,ref_indicateurs!$A:$A,0))&amp;"")</f>
        <v/>
      </c>
      <c r="D137" s="12">
        <f>IF($A137="","",INDEX(ref_indicateurs!$E:$E,MATCH($A137,ref_indicateurs!$A:$A,0))&amp;"")</f>
        <v/>
      </c>
      <c r="E137" s="12">
        <f>IF($A137="","",INDEX(ref_indicateurs!$M:$M,MATCH($A137,ref_indicateurs!$A:$A,0))&amp;"")</f>
        <v/>
      </c>
      <c r="F137" s="12">
        <f>IF($A137="","",IF(INDEX(ref_indicateurs!$O:$O,MATCH($A137,ref_indicateurs!$A:$A,0))="","",INDEX(ref_indicateurs!$O:$O,MATCH($A137,ref_indicateurs!$A:$A,0))))</f>
        <v/>
      </c>
      <c r="G137" s="13">
        <f>IF($A137="","",SUMIFS(saisie_hebdo!$L:$L,saisie_hebdo!$I:$I,$A137))</f>
        <v/>
      </c>
      <c r="H137" s="13">
        <f>IF($A137="","",SUMIFS(saisie_hebdo!$M:$M,saisie_hebdo!$I:$I,$A137))</f>
        <v/>
      </c>
      <c r="I137" s="14">
        <f>IF(OR($A137="",L137=0),"",IF(D137="Pourcentage",IF(H137&gt;0,G137/H137*100,""),G137))</f>
        <v/>
      </c>
      <c r="J137" s="15">
        <f>IF(OR(I137="",F137="",F137=0),"",I137/F137)</f>
        <v/>
      </c>
      <c r="K137" s="12">
        <f>IF(OR($A137="",L137=0),"",IF(_xlfn.MAXIFS(saisie_hebdo!$C:$C,saisie_hebdo!$I:$I,$A137)=0,"",_xlfn.MAXIFS(saisie_hebdo!$C:$C,saisie_hebdo!$I:$I,$A137)))</f>
        <v/>
      </c>
      <c r="L137" s="12">
        <f>IF($A137="","",COUNTIFS(saisie_hebdo!$I:$I,$A137))</f>
        <v/>
      </c>
      <c r="M137" s="12">
        <f>IF($A137="","",IF(L137=0,"Non rapporté",IF(F137="","Suivi sans cible",IF(D137="Pourcentage",IF(I137&gt;=F137,"Cible atteinte","Sous la cible"),IF(J137&gt;=1,"Cible atteinte","En cours")))))</f>
        <v/>
      </c>
    </row>
    <row r="138">
      <c r="A138" s="12">
        <f>IFERROR(INDEX(ref_indicateurs!$A:$A,135)&amp;"","")</f>
        <v/>
      </c>
      <c r="B138" s="12">
        <f>IF($A138="","",INDEX(ref_indicateurs!$B:$B,MATCH($A138,ref_indicateurs!$A:$A,0))&amp;"")</f>
        <v/>
      </c>
      <c r="C138" s="12">
        <f>IF($A138="","",INDEX(ref_indicateurs!$C:$C,MATCH($A138,ref_indicateurs!$A:$A,0))&amp;"")</f>
        <v/>
      </c>
      <c r="D138" s="12">
        <f>IF($A138="","",INDEX(ref_indicateurs!$E:$E,MATCH($A138,ref_indicateurs!$A:$A,0))&amp;"")</f>
        <v/>
      </c>
      <c r="E138" s="12">
        <f>IF($A138="","",INDEX(ref_indicateurs!$M:$M,MATCH($A138,ref_indicateurs!$A:$A,0))&amp;"")</f>
        <v/>
      </c>
      <c r="F138" s="12">
        <f>IF($A138="","",IF(INDEX(ref_indicateurs!$O:$O,MATCH($A138,ref_indicateurs!$A:$A,0))="","",INDEX(ref_indicateurs!$O:$O,MATCH($A138,ref_indicateurs!$A:$A,0))))</f>
        <v/>
      </c>
      <c r="G138" s="13">
        <f>IF($A138="","",SUMIFS(saisie_hebdo!$L:$L,saisie_hebdo!$I:$I,$A138))</f>
        <v/>
      </c>
      <c r="H138" s="13">
        <f>IF($A138="","",SUMIFS(saisie_hebdo!$M:$M,saisie_hebdo!$I:$I,$A138))</f>
        <v/>
      </c>
      <c r="I138" s="14">
        <f>IF(OR($A138="",L138=0),"",IF(D138="Pourcentage",IF(H138&gt;0,G138/H138*100,""),G138))</f>
        <v/>
      </c>
      <c r="J138" s="15">
        <f>IF(OR(I138="",F138="",F138=0),"",I138/F138)</f>
        <v/>
      </c>
      <c r="K138" s="12">
        <f>IF(OR($A138="",L138=0),"",IF(_xlfn.MAXIFS(saisie_hebdo!$C:$C,saisie_hebdo!$I:$I,$A138)=0,"",_xlfn.MAXIFS(saisie_hebdo!$C:$C,saisie_hebdo!$I:$I,$A138)))</f>
        <v/>
      </c>
      <c r="L138" s="12">
        <f>IF($A138="","",COUNTIFS(saisie_hebdo!$I:$I,$A138))</f>
        <v/>
      </c>
      <c r="M138" s="12">
        <f>IF($A138="","",IF(L138=0,"Non rapporté",IF(F138="","Suivi sans cible",IF(D138="Pourcentage",IF(I138&gt;=F138,"Cible atteinte","Sous la cible"),IF(J138&gt;=1,"Cible atteinte","En cours")))))</f>
        <v/>
      </c>
    </row>
    <row r="139">
      <c r="A139" s="12">
        <f>IFERROR(INDEX(ref_indicateurs!$A:$A,136)&amp;"","")</f>
        <v/>
      </c>
      <c r="B139" s="12">
        <f>IF($A139="","",INDEX(ref_indicateurs!$B:$B,MATCH($A139,ref_indicateurs!$A:$A,0))&amp;"")</f>
        <v/>
      </c>
      <c r="C139" s="12">
        <f>IF($A139="","",INDEX(ref_indicateurs!$C:$C,MATCH($A139,ref_indicateurs!$A:$A,0))&amp;"")</f>
        <v/>
      </c>
      <c r="D139" s="12">
        <f>IF($A139="","",INDEX(ref_indicateurs!$E:$E,MATCH($A139,ref_indicateurs!$A:$A,0))&amp;"")</f>
        <v/>
      </c>
      <c r="E139" s="12">
        <f>IF($A139="","",INDEX(ref_indicateurs!$M:$M,MATCH($A139,ref_indicateurs!$A:$A,0))&amp;"")</f>
        <v/>
      </c>
      <c r="F139" s="12">
        <f>IF($A139="","",IF(INDEX(ref_indicateurs!$O:$O,MATCH($A139,ref_indicateurs!$A:$A,0))="","",INDEX(ref_indicateurs!$O:$O,MATCH($A139,ref_indicateurs!$A:$A,0))))</f>
        <v/>
      </c>
      <c r="G139" s="13">
        <f>IF($A139="","",SUMIFS(saisie_hebdo!$L:$L,saisie_hebdo!$I:$I,$A139))</f>
        <v/>
      </c>
      <c r="H139" s="13">
        <f>IF($A139="","",SUMIFS(saisie_hebdo!$M:$M,saisie_hebdo!$I:$I,$A139))</f>
        <v/>
      </c>
      <c r="I139" s="14">
        <f>IF(OR($A139="",L139=0),"",IF(D139="Pourcentage",IF(H139&gt;0,G139/H139*100,""),G139))</f>
        <v/>
      </c>
      <c r="J139" s="15">
        <f>IF(OR(I139="",F139="",F139=0),"",I139/F139)</f>
        <v/>
      </c>
      <c r="K139" s="12">
        <f>IF(OR($A139="",L139=0),"",IF(_xlfn.MAXIFS(saisie_hebdo!$C:$C,saisie_hebdo!$I:$I,$A139)=0,"",_xlfn.MAXIFS(saisie_hebdo!$C:$C,saisie_hebdo!$I:$I,$A139)))</f>
        <v/>
      </c>
      <c r="L139" s="12">
        <f>IF($A139="","",COUNTIFS(saisie_hebdo!$I:$I,$A139))</f>
        <v/>
      </c>
      <c r="M139" s="12">
        <f>IF($A139="","",IF(L139=0,"Non rapporté",IF(F139="","Suivi sans cible",IF(D139="Pourcentage",IF(I139&gt;=F139,"Cible atteinte","Sous la cible"),IF(J139&gt;=1,"Cible atteinte","En cours")))))</f>
        <v/>
      </c>
    </row>
    <row r="140">
      <c r="A140" s="12">
        <f>IFERROR(INDEX(ref_indicateurs!$A:$A,137)&amp;"","")</f>
        <v/>
      </c>
      <c r="B140" s="12">
        <f>IF($A140="","",INDEX(ref_indicateurs!$B:$B,MATCH($A140,ref_indicateurs!$A:$A,0))&amp;"")</f>
        <v/>
      </c>
      <c r="C140" s="12">
        <f>IF($A140="","",INDEX(ref_indicateurs!$C:$C,MATCH($A140,ref_indicateurs!$A:$A,0))&amp;"")</f>
        <v/>
      </c>
      <c r="D140" s="12">
        <f>IF($A140="","",INDEX(ref_indicateurs!$E:$E,MATCH($A140,ref_indicateurs!$A:$A,0))&amp;"")</f>
        <v/>
      </c>
      <c r="E140" s="12">
        <f>IF($A140="","",INDEX(ref_indicateurs!$M:$M,MATCH($A140,ref_indicateurs!$A:$A,0))&amp;"")</f>
        <v/>
      </c>
      <c r="F140" s="12">
        <f>IF($A140="","",IF(INDEX(ref_indicateurs!$O:$O,MATCH($A140,ref_indicateurs!$A:$A,0))="","",INDEX(ref_indicateurs!$O:$O,MATCH($A140,ref_indicateurs!$A:$A,0))))</f>
        <v/>
      </c>
      <c r="G140" s="13">
        <f>IF($A140="","",SUMIFS(saisie_hebdo!$L:$L,saisie_hebdo!$I:$I,$A140))</f>
        <v/>
      </c>
      <c r="H140" s="13">
        <f>IF($A140="","",SUMIFS(saisie_hebdo!$M:$M,saisie_hebdo!$I:$I,$A140))</f>
        <v/>
      </c>
      <c r="I140" s="14">
        <f>IF(OR($A140="",L140=0),"",IF(D140="Pourcentage",IF(H140&gt;0,G140/H140*100,""),G140))</f>
        <v/>
      </c>
      <c r="J140" s="15">
        <f>IF(OR(I140="",F140="",F140=0),"",I140/F140)</f>
        <v/>
      </c>
      <c r="K140" s="12">
        <f>IF(OR($A140="",L140=0),"",IF(_xlfn.MAXIFS(saisie_hebdo!$C:$C,saisie_hebdo!$I:$I,$A140)=0,"",_xlfn.MAXIFS(saisie_hebdo!$C:$C,saisie_hebdo!$I:$I,$A140)))</f>
        <v/>
      </c>
      <c r="L140" s="12">
        <f>IF($A140="","",COUNTIFS(saisie_hebdo!$I:$I,$A140))</f>
        <v/>
      </c>
      <c r="M140" s="12">
        <f>IF($A140="","",IF(L140=0,"Non rapporté",IF(F140="","Suivi sans cible",IF(D140="Pourcentage",IF(I140&gt;=F140,"Cible atteinte","Sous la cible"),IF(J140&gt;=1,"Cible atteinte","En cours")))))</f>
        <v/>
      </c>
    </row>
    <row r="141">
      <c r="A141" s="12">
        <f>IFERROR(INDEX(ref_indicateurs!$A:$A,138)&amp;"","")</f>
        <v/>
      </c>
      <c r="B141" s="12">
        <f>IF($A141="","",INDEX(ref_indicateurs!$B:$B,MATCH($A141,ref_indicateurs!$A:$A,0))&amp;"")</f>
        <v/>
      </c>
      <c r="C141" s="12">
        <f>IF($A141="","",INDEX(ref_indicateurs!$C:$C,MATCH($A141,ref_indicateurs!$A:$A,0))&amp;"")</f>
        <v/>
      </c>
      <c r="D141" s="12">
        <f>IF($A141="","",INDEX(ref_indicateurs!$E:$E,MATCH($A141,ref_indicateurs!$A:$A,0))&amp;"")</f>
        <v/>
      </c>
      <c r="E141" s="12">
        <f>IF($A141="","",INDEX(ref_indicateurs!$M:$M,MATCH($A141,ref_indicateurs!$A:$A,0))&amp;"")</f>
        <v/>
      </c>
      <c r="F141" s="12">
        <f>IF($A141="","",IF(INDEX(ref_indicateurs!$O:$O,MATCH($A141,ref_indicateurs!$A:$A,0))="","",INDEX(ref_indicateurs!$O:$O,MATCH($A141,ref_indicateurs!$A:$A,0))))</f>
        <v/>
      </c>
      <c r="G141" s="13">
        <f>IF($A141="","",SUMIFS(saisie_hebdo!$L:$L,saisie_hebdo!$I:$I,$A141))</f>
        <v/>
      </c>
      <c r="H141" s="13">
        <f>IF($A141="","",SUMIFS(saisie_hebdo!$M:$M,saisie_hebdo!$I:$I,$A141))</f>
        <v/>
      </c>
      <c r="I141" s="14">
        <f>IF(OR($A141="",L141=0),"",IF(D141="Pourcentage",IF(H141&gt;0,G141/H141*100,""),G141))</f>
        <v/>
      </c>
      <c r="J141" s="15">
        <f>IF(OR(I141="",F141="",F141=0),"",I141/F141)</f>
        <v/>
      </c>
      <c r="K141" s="12">
        <f>IF(OR($A141="",L141=0),"",IF(_xlfn.MAXIFS(saisie_hebdo!$C:$C,saisie_hebdo!$I:$I,$A141)=0,"",_xlfn.MAXIFS(saisie_hebdo!$C:$C,saisie_hebdo!$I:$I,$A141)))</f>
        <v/>
      </c>
      <c r="L141" s="12">
        <f>IF($A141="","",COUNTIFS(saisie_hebdo!$I:$I,$A141))</f>
        <v/>
      </c>
      <c r="M141" s="12">
        <f>IF($A141="","",IF(L141=0,"Non rapporté",IF(F141="","Suivi sans cible",IF(D141="Pourcentage",IF(I141&gt;=F141,"Cible atteinte","Sous la cible"),IF(J141&gt;=1,"Cible atteinte","En cours")))))</f>
        <v/>
      </c>
    </row>
    <row r="142">
      <c r="A142" s="12">
        <f>IFERROR(INDEX(ref_indicateurs!$A:$A,139)&amp;"","")</f>
        <v/>
      </c>
      <c r="B142" s="12">
        <f>IF($A142="","",INDEX(ref_indicateurs!$B:$B,MATCH($A142,ref_indicateurs!$A:$A,0))&amp;"")</f>
        <v/>
      </c>
      <c r="C142" s="12">
        <f>IF($A142="","",INDEX(ref_indicateurs!$C:$C,MATCH($A142,ref_indicateurs!$A:$A,0))&amp;"")</f>
        <v/>
      </c>
      <c r="D142" s="12">
        <f>IF($A142="","",INDEX(ref_indicateurs!$E:$E,MATCH($A142,ref_indicateurs!$A:$A,0))&amp;"")</f>
        <v/>
      </c>
      <c r="E142" s="12">
        <f>IF($A142="","",INDEX(ref_indicateurs!$M:$M,MATCH($A142,ref_indicateurs!$A:$A,0))&amp;"")</f>
        <v/>
      </c>
      <c r="F142" s="12">
        <f>IF($A142="","",IF(INDEX(ref_indicateurs!$O:$O,MATCH($A142,ref_indicateurs!$A:$A,0))="","",INDEX(ref_indicateurs!$O:$O,MATCH($A142,ref_indicateurs!$A:$A,0))))</f>
        <v/>
      </c>
      <c r="G142" s="13">
        <f>IF($A142="","",SUMIFS(saisie_hebdo!$L:$L,saisie_hebdo!$I:$I,$A142))</f>
        <v/>
      </c>
      <c r="H142" s="13">
        <f>IF($A142="","",SUMIFS(saisie_hebdo!$M:$M,saisie_hebdo!$I:$I,$A142))</f>
        <v/>
      </c>
      <c r="I142" s="14">
        <f>IF(OR($A142="",L142=0),"",IF(D142="Pourcentage",IF(H142&gt;0,G142/H142*100,""),G142))</f>
        <v/>
      </c>
      <c r="J142" s="15">
        <f>IF(OR(I142="",F142="",F142=0),"",I142/F142)</f>
        <v/>
      </c>
      <c r="K142" s="12">
        <f>IF(OR($A142="",L142=0),"",IF(_xlfn.MAXIFS(saisie_hebdo!$C:$C,saisie_hebdo!$I:$I,$A142)=0,"",_xlfn.MAXIFS(saisie_hebdo!$C:$C,saisie_hebdo!$I:$I,$A142)))</f>
        <v/>
      </c>
      <c r="L142" s="12">
        <f>IF($A142="","",COUNTIFS(saisie_hebdo!$I:$I,$A142))</f>
        <v/>
      </c>
      <c r="M142" s="12">
        <f>IF($A142="","",IF(L142=0,"Non rapporté",IF(F142="","Suivi sans cible",IF(D142="Pourcentage",IF(I142&gt;=F142,"Cible atteinte","Sous la cible"),IF(J142&gt;=1,"Cible atteinte","En cours")))))</f>
        <v/>
      </c>
    </row>
    <row r="143">
      <c r="A143" s="12">
        <f>IFERROR(INDEX(ref_indicateurs!$A:$A,140)&amp;"","")</f>
        <v/>
      </c>
      <c r="B143" s="12">
        <f>IF($A143="","",INDEX(ref_indicateurs!$B:$B,MATCH($A143,ref_indicateurs!$A:$A,0))&amp;"")</f>
        <v/>
      </c>
      <c r="C143" s="12">
        <f>IF($A143="","",INDEX(ref_indicateurs!$C:$C,MATCH($A143,ref_indicateurs!$A:$A,0))&amp;"")</f>
        <v/>
      </c>
      <c r="D143" s="12">
        <f>IF($A143="","",INDEX(ref_indicateurs!$E:$E,MATCH($A143,ref_indicateurs!$A:$A,0))&amp;"")</f>
        <v/>
      </c>
      <c r="E143" s="12">
        <f>IF($A143="","",INDEX(ref_indicateurs!$M:$M,MATCH($A143,ref_indicateurs!$A:$A,0))&amp;"")</f>
        <v/>
      </c>
      <c r="F143" s="12">
        <f>IF($A143="","",IF(INDEX(ref_indicateurs!$O:$O,MATCH($A143,ref_indicateurs!$A:$A,0))="","",INDEX(ref_indicateurs!$O:$O,MATCH($A143,ref_indicateurs!$A:$A,0))))</f>
        <v/>
      </c>
      <c r="G143" s="13">
        <f>IF($A143="","",SUMIFS(saisie_hebdo!$L:$L,saisie_hebdo!$I:$I,$A143))</f>
        <v/>
      </c>
      <c r="H143" s="13">
        <f>IF($A143="","",SUMIFS(saisie_hebdo!$M:$M,saisie_hebdo!$I:$I,$A143))</f>
        <v/>
      </c>
      <c r="I143" s="14">
        <f>IF(OR($A143="",L143=0),"",IF(D143="Pourcentage",IF(H143&gt;0,G143/H143*100,""),G143))</f>
        <v/>
      </c>
      <c r="J143" s="15">
        <f>IF(OR(I143="",F143="",F143=0),"",I143/F143)</f>
        <v/>
      </c>
      <c r="K143" s="12">
        <f>IF(OR($A143="",L143=0),"",IF(_xlfn.MAXIFS(saisie_hebdo!$C:$C,saisie_hebdo!$I:$I,$A143)=0,"",_xlfn.MAXIFS(saisie_hebdo!$C:$C,saisie_hebdo!$I:$I,$A143)))</f>
        <v/>
      </c>
      <c r="L143" s="12">
        <f>IF($A143="","",COUNTIFS(saisie_hebdo!$I:$I,$A143))</f>
        <v/>
      </c>
      <c r="M143" s="12">
        <f>IF($A143="","",IF(L143=0,"Non rapporté",IF(F143="","Suivi sans cible",IF(D143="Pourcentage",IF(I143&gt;=F143,"Cible atteinte","Sous la cible"),IF(J143&gt;=1,"Cible atteinte","En cours")))))</f>
        <v/>
      </c>
    </row>
    <row r="144">
      <c r="A144" s="12">
        <f>IFERROR(INDEX(ref_indicateurs!$A:$A,141)&amp;"","")</f>
        <v/>
      </c>
      <c r="B144" s="12">
        <f>IF($A144="","",INDEX(ref_indicateurs!$B:$B,MATCH($A144,ref_indicateurs!$A:$A,0))&amp;"")</f>
        <v/>
      </c>
      <c r="C144" s="12">
        <f>IF($A144="","",INDEX(ref_indicateurs!$C:$C,MATCH($A144,ref_indicateurs!$A:$A,0))&amp;"")</f>
        <v/>
      </c>
      <c r="D144" s="12">
        <f>IF($A144="","",INDEX(ref_indicateurs!$E:$E,MATCH($A144,ref_indicateurs!$A:$A,0))&amp;"")</f>
        <v/>
      </c>
      <c r="E144" s="12">
        <f>IF($A144="","",INDEX(ref_indicateurs!$M:$M,MATCH($A144,ref_indicateurs!$A:$A,0))&amp;"")</f>
        <v/>
      </c>
      <c r="F144" s="12">
        <f>IF($A144="","",IF(INDEX(ref_indicateurs!$O:$O,MATCH($A144,ref_indicateurs!$A:$A,0))="","",INDEX(ref_indicateurs!$O:$O,MATCH($A144,ref_indicateurs!$A:$A,0))))</f>
        <v/>
      </c>
      <c r="G144" s="13">
        <f>IF($A144="","",SUMIFS(saisie_hebdo!$L:$L,saisie_hebdo!$I:$I,$A144))</f>
        <v/>
      </c>
      <c r="H144" s="13">
        <f>IF($A144="","",SUMIFS(saisie_hebdo!$M:$M,saisie_hebdo!$I:$I,$A144))</f>
        <v/>
      </c>
      <c r="I144" s="14">
        <f>IF(OR($A144="",L144=0),"",IF(D144="Pourcentage",IF(H144&gt;0,G144/H144*100,""),G144))</f>
        <v/>
      </c>
      <c r="J144" s="15">
        <f>IF(OR(I144="",F144="",F144=0),"",I144/F144)</f>
        <v/>
      </c>
      <c r="K144" s="12">
        <f>IF(OR($A144="",L144=0),"",IF(_xlfn.MAXIFS(saisie_hebdo!$C:$C,saisie_hebdo!$I:$I,$A144)=0,"",_xlfn.MAXIFS(saisie_hebdo!$C:$C,saisie_hebdo!$I:$I,$A144)))</f>
        <v/>
      </c>
      <c r="L144" s="12">
        <f>IF($A144="","",COUNTIFS(saisie_hebdo!$I:$I,$A144))</f>
        <v/>
      </c>
      <c r="M144" s="12">
        <f>IF($A144="","",IF(L144=0,"Non rapporté",IF(F144="","Suivi sans cible",IF(D144="Pourcentage",IF(I144&gt;=F144,"Cible atteinte","Sous la cible"),IF(J144&gt;=1,"Cible atteinte","En cours")))))</f>
        <v/>
      </c>
    </row>
    <row r="145">
      <c r="A145" s="12">
        <f>IFERROR(INDEX(ref_indicateurs!$A:$A,142)&amp;"","")</f>
        <v/>
      </c>
      <c r="B145" s="12">
        <f>IF($A145="","",INDEX(ref_indicateurs!$B:$B,MATCH($A145,ref_indicateurs!$A:$A,0))&amp;"")</f>
        <v/>
      </c>
      <c r="C145" s="12">
        <f>IF($A145="","",INDEX(ref_indicateurs!$C:$C,MATCH($A145,ref_indicateurs!$A:$A,0))&amp;"")</f>
        <v/>
      </c>
      <c r="D145" s="12">
        <f>IF($A145="","",INDEX(ref_indicateurs!$E:$E,MATCH($A145,ref_indicateurs!$A:$A,0))&amp;"")</f>
        <v/>
      </c>
      <c r="E145" s="12">
        <f>IF($A145="","",INDEX(ref_indicateurs!$M:$M,MATCH($A145,ref_indicateurs!$A:$A,0))&amp;"")</f>
        <v/>
      </c>
      <c r="F145" s="12">
        <f>IF($A145="","",IF(INDEX(ref_indicateurs!$O:$O,MATCH($A145,ref_indicateurs!$A:$A,0))="","",INDEX(ref_indicateurs!$O:$O,MATCH($A145,ref_indicateurs!$A:$A,0))))</f>
        <v/>
      </c>
      <c r="G145" s="13">
        <f>IF($A145="","",SUMIFS(saisie_hebdo!$L:$L,saisie_hebdo!$I:$I,$A145))</f>
        <v/>
      </c>
      <c r="H145" s="13">
        <f>IF($A145="","",SUMIFS(saisie_hebdo!$M:$M,saisie_hebdo!$I:$I,$A145))</f>
        <v/>
      </c>
      <c r="I145" s="14">
        <f>IF(OR($A145="",L145=0),"",IF(D145="Pourcentage",IF(H145&gt;0,G145/H145*100,""),G145))</f>
        <v/>
      </c>
      <c r="J145" s="15">
        <f>IF(OR(I145="",F145="",F145=0),"",I145/F145)</f>
        <v/>
      </c>
      <c r="K145" s="12">
        <f>IF(OR($A145="",L145=0),"",IF(_xlfn.MAXIFS(saisie_hebdo!$C:$C,saisie_hebdo!$I:$I,$A145)=0,"",_xlfn.MAXIFS(saisie_hebdo!$C:$C,saisie_hebdo!$I:$I,$A145)))</f>
        <v/>
      </c>
      <c r="L145" s="12">
        <f>IF($A145="","",COUNTIFS(saisie_hebdo!$I:$I,$A145))</f>
        <v/>
      </c>
      <c r="M145" s="12">
        <f>IF($A145="","",IF(L145=0,"Non rapporté",IF(F145="","Suivi sans cible",IF(D145="Pourcentage",IF(I145&gt;=F145,"Cible atteinte","Sous la cible"),IF(J145&gt;=1,"Cible atteinte","En cours")))))</f>
        <v/>
      </c>
    </row>
    <row r="146">
      <c r="A146" s="12">
        <f>IFERROR(INDEX(ref_indicateurs!$A:$A,143)&amp;"","")</f>
        <v/>
      </c>
      <c r="B146" s="12">
        <f>IF($A146="","",INDEX(ref_indicateurs!$B:$B,MATCH($A146,ref_indicateurs!$A:$A,0))&amp;"")</f>
        <v/>
      </c>
      <c r="C146" s="12">
        <f>IF($A146="","",INDEX(ref_indicateurs!$C:$C,MATCH($A146,ref_indicateurs!$A:$A,0))&amp;"")</f>
        <v/>
      </c>
      <c r="D146" s="12">
        <f>IF($A146="","",INDEX(ref_indicateurs!$E:$E,MATCH($A146,ref_indicateurs!$A:$A,0))&amp;"")</f>
        <v/>
      </c>
      <c r="E146" s="12">
        <f>IF($A146="","",INDEX(ref_indicateurs!$M:$M,MATCH($A146,ref_indicateurs!$A:$A,0))&amp;"")</f>
        <v/>
      </c>
      <c r="F146" s="12">
        <f>IF($A146="","",IF(INDEX(ref_indicateurs!$O:$O,MATCH($A146,ref_indicateurs!$A:$A,0))="","",INDEX(ref_indicateurs!$O:$O,MATCH($A146,ref_indicateurs!$A:$A,0))))</f>
        <v/>
      </c>
      <c r="G146" s="13">
        <f>IF($A146="","",SUMIFS(saisie_hebdo!$L:$L,saisie_hebdo!$I:$I,$A146))</f>
        <v/>
      </c>
      <c r="H146" s="13">
        <f>IF($A146="","",SUMIFS(saisie_hebdo!$M:$M,saisie_hebdo!$I:$I,$A146))</f>
        <v/>
      </c>
      <c r="I146" s="14">
        <f>IF(OR($A146="",L146=0),"",IF(D146="Pourcentage",IF(H146&gt;0,G146/H146*100,""),G146))</f>
        <v/>
      </c>
      <c r="J146" s="15">
        <f>IF(OR(I146="",F146="",F146=0),"",I146/F146)</f>
        <v/>
      </c>
      <c r="K146" s="12">
        <f>IF(OR($A146="",L146=0),"",IF(_xlfn.MAXIFS(saisie_hebdo!$C:$C,saisie_hebdo!$I:$I,$A146)=0,"",_xlfn.MAXIFS(saisie_hebdo!$C:$C,saisie_hebdo!$I:$I,$A146)))</f>
        <v/>
      </c>
      <c r="L146" s="12">
        <f>IF($A146="","",COUNTIFS(saisie_hebdo!$I:$I,$A146))</f>
        <v/>
      </c>
      <c r="M146" s="12">
        <f>IF($A146="","",IF(L146=0,"Non rapporté",IF(F146="","Suivi sans cible",IF(D146="Pourcentage",IF(I146&gt;=F146,"Cible atteinte","Sous la cible"),IF(J146&gt;=1,"Cible atteinte","En cours")))))</f>
        <v/>
      </c>
    </row>
    <row r="147">
      <c r="A147" s="12">
        <f>IFERROR(INDEX(ref_indicateurs!$A:$A,144)&amp;"","")</f>
        <v/>
      </c>
      <c r="B147" s="12">
        <f>IF($A147="","",INDEX(ref_indicateurs!$B:$B,MATCH($A147,ref_indicateurs!$A:$A,0))&amp;"")</f>
        <v/>
      </c>
      <c r="C147" s="12">
        <f>IF($A147="","",INDEX(ref_indicateurs!$C:$C,MATCH($A147,ref_indicateurs!$A:$A,0))&amp;"")</f>
        <v/>
      </c>
      <c r="D147" s="12">
        <f>IF($A147="","",INDEX(ref_indicateurs!$E:$E,MATCH($A147,ref_indicateurs!$A:$A,0))&amp;"")</f>
        <v/>
      </c>
      <c r="E147" s="12">
        <f>IF($A147="","",INDEX(ref_indicateurs!$M:$M,MATCH($A147,ref_indicateurs!$A:$A,0))&amp;"")</f>
        <v/>
      </c>
      <c r="F147" s="12">
        <f>IF($A147="","",IF(INDEX(ref_indicateurs!$O:$O,MATCH($A147,ref_indicateurs!$A:$A,0))="","",INDEX(ref_indicateurs!$O:$O,MATCH($A147,ref_indicateurs!$A:$A,0))))</f>
        <v/>
      </c>
      <c r="G147" s="13">
        <f>IF($A147="","",SUMIFS(saisie_hebdo!$L:$L,saisie_hebdo!$I:$I,$A147))</f>
        <v/>
      </c>
      <c r="H147" s="13">
        <f>IF($A147="","",SUMIFS(saisie_hebdo!$M:$M,saisie_hebdo!$I:$I,$A147))</f>
        <v/>
      </c>
      <c r="I147" s="14">
        <f>IF(OR($A147="",L147=0),"",IF(D147="Pourcentage",IF(H147&gt;0,G147/H147*100,""),G147))</f>
        <v/>
      </c>
      <c r="J147" s="15">
        <f>IF(OR(I147="",F147="",F147=0),"",I147/F147)</f>
        <v/>
      </c>
      <c r="K147" s="12">
        <f>IF(OR($A147="",L147=0),"",IF(_xlfn.MAXIFS(saisie_hebdo!$C:$C,saisie_hebdo!$I:$I,$A147)=0,"",_xlfn.MAXIFS(saisie_hebdo!$C:$C,saisie_hebdo!$I:$I,$A147)))</f>
        <v/>
      </c>
      <c r="L147" s="12">
        <f>IF($A147="","",COUNTIFS(saisie_hebdo!$I:$I,$A147))</f>
        <v/>
      </c>
      <c r="M147" s="12">
        <f>IF($A147="","",IF(L147=0,"Non rapporté",IF(F147="","Suivi sans cible",IF(D147="Pourcentage",IF(I147&gt;=F147,"Cible atteinte","Sous la cible"),IF(J147&gt;=1,"Cible atteinte","En cours")))))</f>
        <v/>
      </c>
    </row>
    <row r="148">
      <c r="A148" s="12">
        <f>IFERROR(INDEX(ref_indicateurs!$A:$A,145)&amp;"","")</f>
        <v/>
      </c>
      <c r="B148" s="12">
        <f>IF($A148="","",INDEX(ref_indicateurs!$B:$B,MATCH($A148,ref_indicateurs!$A:$A,0))&amp;"")</f>
        <v/>
      </c>
      <c r="C148" s="12">
        <f>IF($A148="","",INDEX(ref_indicateurs!$C:$C,MATCH($A148,ref_indicateurs!$A:$A,0))&amp;"")</f>
        <v/>
      </c>
      <c r="D148" s="12">
        <f>IF($A148="","",INDEX(ref_indicateurs!$E:$E,MATCH($A148,ref_indicateurs!$A:$A,0))&amp;"")</f>
        <v/>
      </c>
      <c r="E148" s="12">
        <f>IF($A148="","",INDEX(ref_indicateurs!$M:$M,MATCH($A148,ref_indicateurs!$A:$A,0))&amp;"")</f>
        <v/>
      </c>
      <c r="F148" s="12">
        <f>IF($A148="","",IF(INDEX(ref_indicateurs!$O:$O,MATCH($A148,ref_indicateurs!$A:$A,0))="","",INDEX(ref_indicateurs!$O:$O,MATCH($A148,ref_indicateurs!$A:$A,0))))</f>
        <v/>
      </c>
      <c r="G148" s="13">
        <f>IF($A148="","",SUMIFS(saisie_hebdo!$L:$L,saisie_hebdo!$I:$I,$A148))</f>
        <v/>
      </c>
      <c r="H148" s="13">
        <f>IF($A148="","",SUMIFS(saisie_hebdo!$M:$M,saisie_hebdo!$I:$I,$A148))</f>
        <v/>
      </c>
      <c r="I148" s="14">
        <f>IF(OR($A148="",L148=0),"",IF(D148="Pourcentage",IF(H148&gt;0,G148/H148*100,""),G148))</f>
        <v/>
      </c>
      <c r="J148" s="15">
        <f>IF(OR(I148="",F148="",F148=0),"",I148/F148)</f>
        <v/>
      </c>
      <c r="K148" s="12">
        <f>IF(OR($A148="",L148=0),"",IF(_xlfn.MAXIFS(saisie_hebdo!$C:$C,saisie_hebdo!$I:$I,$A148)=0,"",_xlfn.MAXIFS(saisie_hebdo!$C:$C,saisie_hebdo!$I:$I,$A148)))</f>
        <v/>
      </c>
      <c r="L148" s="12">
        <f>IF($A148="","",COUNTIFS(saisie_hebdo!$I:$I,$A148))</f>
        <v/>
      </c>
      <c r="M148" s="12">
        <f>IF($A148="","",IF(L148=0,"Non rapporté",IF(F148="","Suivi sans cible",IF(D148="Pourcentage",IF(I148&gt;=F148,"Cible atteinte","Sous la cible"),IF(J148&gt;=1,"Cible atteinte","En cours")))))</f>
        <v/>
      </c>
    </row>
    <row r="149">
      <c r="A149" s="12">
        <f>IFERROR(INDEX(ref_indicateurs!$A:$A,146)&amp;"","")</f>
        <v/>
      </c>
      <c r="B149" s="12">
        <f>IF($A149="","",INDEX(ref_indicateurs!$B:$B,MATCH($A149,ref_indicateurs!$A:$A,0))&amp;"")</f>
        <v/>
      </c>
      <c r="C149" s="12">
        <f>IF($A149="","",INDEX(ref_indicateurs!$C:$C,MATCH($A149,ref_indicateurs!$A:$A,0))&amp;"")</f>
        <v/>
      </c>
      <c r="D149" s="12">
        <f>IF($A149="","",INDEX(ref_indicateurs!$E:$E,MATCH($A149,ref_indicateurs!$A:$A,0))&amp;"")</f>
        <v/>
      </c>
      <c r="E149" s="12">
        <f>IF($A149="","",INDEX(ref_indicateurs!$M:$M,MATCH($A149,ref_indicateurs!$A:$A,0))&amp;"")</f>
        <v/>
      </c>
      <c r="F149" s="12">
        <f>IF($A149="","",IF(INDEX(ref_indicateurs!$O:$O,MATCH($A149,ref_indicateurs!$A:$A,0))="","",INDEX(ref_indicateurs!$O:$O,MATCH($A149,ref_indicateurs!$A:$A,0))))</f>
        <v/>
      </c>
      <c r="G149" s="13">
        <f>IF($A149="","",SUMIFS(saisie_hebdo!$L:$L,saisie_hebdo!$I:$I,$A149))</f>
        <v/>
      </c>
      <c r="H149" s="13">
        <f>IF($A149="","",SUMIFS(saisie_hebdo!$M:$M,saisie_hebdo!$I:$I,$A149))</f>
        <v/>
      </c>
      <c r="I149" s="14">
        <f>IF(OR($A149="",L149=0),"",IF(D149="Pourcentage",IF(H149&gt;0,G149/H149*100,""),G149))</f>
        <v/>
      </c>
      <c r="J149" s="15">
        <f>IF(OR(I149="",F149="",F149=0),"",I149/F149)</f>
        <v/>
      </c>
      <c r="K149" s="12">
        <f>IF(OR($A149="",L149=0),"",IF(_xlfn.MAXIFS(saisie_hebdo!$C:$C,saisie_hebdo!$I:$I,$A149)=0,"",_xlfn.MAXIFS(saisie_hebdo!$C:$C,saisie_hebdo!$I:$I,$A149)))</f>
        <v/>
      </c>
      <c r="L149" s="12">
        <f>IF($A149="","",COUNTIFS(saisie_hebdo!$I:$I,$A149))</f>
        <v/>
      </c>
      <c r="M149" s="12">
        <f>IF($A149="","",IF(L149=0,"Non rapporté",IF(F149="","Suivi sans cible",IF(D149="Pourcentage",IF(I149&gt;=F149,"Cible atteinte","Sous la cible"),IF(J149&gt;=1,"Cible atteinte","En cours")))))</f>
        <v/>
      </c>
    </row>
    <row r="150">
      <c r="A150" s="12">
        <f>IFERROR(INDEX(ref_indicateurs!$A:$A,147)&amp;"","")</f>
        <v/>
      </c>
      <c r="B150" s="12">
        <f>IF($A150="","",INDEX(ref_indicateurs!$B:$B,MATCH($A150,ref_indicateurs!$A:$A,0))&amp;"")</f>
        <v/>
      </c>
      <c r="C150" s="12">
        <f>IF($A150="","",INDEX(ref_indicateurs!$C:$C,MATCH($A150,ref_indicateurs!$A:$A,0))&amp;"")</f>
        <v/>
      </c>
      <c r="D150" s="12">
        <f>IF($A150="","",INDEX(ref_indicateurs!$E:$E,MATCH($A150,ref_indicateurs!$A:$A,0))&amp;"")</f>
        <v/>
      </c>
      <c r="E150" s="12">
        <f>IF($A150="","",INDEX(ref_indicateurs!$M:$M,MATCH($A150,ref_indicateurs!$A:$A,0))&amp;"")</f>
        <v/>
      </c>
      <c r="F150" s="12">
        <f>IF($A150="","",IF(INDEX(ref_indicateurs!$O:$O,MATCH($A150,ref_indicateurs!$A:$A,0))="","",INDEX(ref_indicateurs!$O:$O,MATCH($A150,ref_indicateurs!$A:$A,0))))</f>
        <v/>
      </c>
      <c r="G150" s="13">
        <f>IF($A150="","",SUMIFS(saisie_hebdo!$L:$L,saisie_hebdo!$I:$I,$A150))</f>
        <v/>
      </c>
      <c r="H150" s="13">
        <f>IF($A150="","",SUMIFS(saisie_hebdo!$M:$M,saisie_hebdo!$I:$I,$A150))</f>
        <v/>
      </c>
      <c r="I150" s="14">
        <f>IF(OR($A150="",L150=0),"",IF(D150="Pourcentage",IF(H150&gt;0,G150/H150*100,""),G150))</f>
        <v/>
      </c>
      <c r="J150" s="15">
        <f>IF(OR(I150="",F150="",F150=0),"",I150/F150)</f>
        <v/>
      </c>
      <c r="K150" s="12">
        <f>IF(OR($A150="",L150=0),"",IF(_xlfn.MAXIFS(saisie_hebdo!$C:$C,saisie_hebdo!$I:$I,$A150)=0,"",_xlfn.MAXIFS(saisie_hebdo!$C:$C,saisie_hebdo!$I:$I,$A150)))</f>
        <v/>
      </c>
      <c r="L150" s="12">
        <f>IF($A150="","",COUNTIFS(saisie_hebdo!$I:$I,$A150))</f>
        <v/>
      </c>
      <c r="M150" s="12">
        <f>IF($A150="","",IF(L150=0,"Non rapporté",IF(F150="","Suivi sans cible",IF(D150="Pourcentage",IF(I150&gt;=F150,"Cible atteinte","Sous la cible"),IF(J150&gt;=1,"Cible atteinte","En cours")))))</f>
        <v/>
      </c>
    </row>
    <row r="151">
      <c r="A151" s="12">
        <f>IFERROR(INDEX(ref_indicateurs!$A:$A,148)&amp;"","")</f>
        <v/>
      </c>
      <c r="B151" s="12">
        <f>IF($A151="","",INDEX(ref_indicateurs!$B:$B,MATCH($A151,ref_indicateurs!$A:$A,0))&amp;"")</f>
        <v/>
      </c>
      <c r="C151" s="12">
        <f>IF($A151="","",INDEX(ref_indicateurs!$C:$C,MATCH($A151,ref_indicateurs!$A:$A,0))&amp;"")</f>
        <v/>
      </c>
      <c r="D151" s="12">
        <f>IF($A151="","",INDEX(ref_indicateurs!$E:$E,MATCH($A151,ref_indicateurs!$A:$A,0))&amp;"")</f>
        <v/>
      </c>
      <c r="E151" s="12">
        <f>IF($A151="","",INDEX(ref_indicateurs!$M:$M,MATCH($A151,ref_indicateurs!$A:$A,0))&amp;"")</f>
        <v/>
      </c>
      <c r="F151" s="12">
        <f>IF($A151="","",IF(INDEX(ref_indicateurs!$O:$O,MATCH($A151,ref_indicateurs!$A:$A,0))="","",INDEX(ref_indicateurs!$O:$O,MATCH($A151,ref_indicateurs!$A:$A,0))))</f>
        <v/>
      </c>
      <c r="G151" s="13">
        <f>IF($A151="","",SUMIFS(saisie_hebdo!$L:$L,saisie_hebdo!$I:$I,$A151))</f>
        <v/>
      </c>
      <c r="H151" s="13">
        <f>IF($A151="","",SUMIFS(saisie_hebdo!$M:$M,saisie_hebdo!$I:$I,$A151))</f>
        <v/>
      </c>
      <c r="I151" s="14">
        <f>IF(OR($A151="",L151=0),"",IF(D151="Pourcentage",IF(H151&gt;0,G151/H151*100,""),G151))</f>
        <v/>
      </c>
      <c r="J151" s="15">
        <f>IF(OR(I151="",F151="",F151=0),"",I151/F151)</f>
        <v/>
      </c>
      <c r="K151" s="12">
        <f>IF(OR($A151="",L151=0),"",IF(_xlfn.MAXIFS(saisie_hebdo!$C:$C,saisie_hebdo!$I:$I,$A151)=0,"",_xlfn.MAXIFS(saisie_hebdo!$C:$C,saisie_hebdo!$I:$I,$A151)))</f>
        <v/>
      </c>
      <c r="L151" s="12">
        <f>IF($A151="","",COUNTIFS(saisie_hebdo!$I:$I,$A151))</f>
        <v/>
      </c>
      <c r="M151" s="12">
        <f>IF($A151="","",IF(L151=0,"Non rapporté",IF(F151="","Suivi sans cible",IF(D151="Pourcentage",IF(I151&gt;=F151,"Cible atteinte","Sous la cible"),IF(J151&gt;=1,"Cible atteinte","En cours")))))</f>
        <v/>
      </c>
    </row>
    <row r="152">
      <c r="A152" s="12">
        <f>IFERROR(INDEX(ref_indicateurs!$A:$A,149)&amp;"","")</f>
        <v/>
      </c>
      <c r="B152" s="12">
        <f>IF($A152="","",INDEX(ref_indicateurs!$B:$B,MATCH($A152,ref_indicateurs!$A:$A,0))&amp;"")</f>
        <v/>
      </c>
      <c r="C152" s="12">
        <f>IF($A152="","",INDEX(ref_indicateurs!$C:$C,MATCH($A152,ref_indicateurs!$A:$A,0))&amp;"")</f>
        <v/>
      </c>
      <c r="D152" s="12">
        <f>IF($A152="","",INDEX(ref_indicateurs!$E:$E,MATCH($A152,ref_indicateurs!$A:$A,0))&amp;"")</f>
        <v/>
      </c>
      <c r="E152" s="12">
        <f>IF($A152="","",INDEX(ref_indicateurs!$M:$M,MATCH($A152,ref_indicateurs!$A:$A,0))&amp;"")</f>
        <v/>
      </c>
      <c r="F152" s="12">
        <f>IF($A152="","",IF(INDEX(ref_indicateurs!$O:$O,MATCH($A152,ref_indicateurs!$A:$A,0))="","",INDEX(ref_indicateurs!$O:$O,MATCH($A152,ref_indicateurs!$A:$A,0))))</f>
        <v/>
      </c>
      <c r="G152" s="13">
        <f>IF($A152="","",SUMIFS(saisie_hebdo!$L:$L,saisie_hebdo!$I:$I,$A152))</f>
        <v/>
      </c>
      <c r="H152" s="13">
        <f>IF($A152="","",SUMIFS(saisie_hebdo!$M:$M,saisie_hebdo!$I:$I,$A152))</f>
        <v/>
      </c>
      <c r="I152" s="14">
        <f>IF(OR($A152="",L152=0),"",IF(D152="Pourcentage",IF(H152&gt;0,G152/H152*100,""),G152))</f>
        <v/>
      </c>
      <c r="J152" s="15">
        <f>IF(OR(I152="",F152="",F152=0),"",I152/F152)</f>
        <v/>
      </c>
      <c r="K152" s="12">
        <f>IF(OR($A152="",L152=0),"",IF(_xlfn.MAXIFS(saisie_hebdo!$C:$C,saisie_hebdo!$I:$I,$A152)=0,"",_xlfn.MAXIFS(saisie_hebdo!$C:$C,saisie_hebdo!$I:$I,$A152)))</f>
        <v/>
      </c>
      <c r="L152" s="12">
        <f>IF($A152="","",COUNTIFS(saisie_hebdo!$I:$I,$A152))</f>
        <v/>
      </c>
      <c r="M152" s="12">
        <f>IF($A152="","",IF(L152=0,"Non rapporté",IF(F152="","Suivi sans cible",IF(D152="Pourcentage",IF(I152&gt;=F152,"Cible atteinte","Sous la cible"),IF(J152&gt;=1,"Cible atteinte","En cours")))))</f>
        <v/>
      </c>
    </row>
    <row r="153">
      <c r="A153" s="12">
        <f>IFERROR(INDEX(ref_indicateurs!$A:$A,150)&amp;"","")</f>
        <v/>
      </c>
      <c r="B153" s="12">
        <f>IF($A153="","",INDEX(ref_indicateurs!$B:$B,MATCH($A153,ref_indicateurs!$A:$A,0))&amp;"")</f>
        <v/>
      </c>
      <c r="C153" s="12">
        <f>IF($A153="","",INDEX(ref_indicateurs!$C:$C,MATCH($A153,ref_indicateurs!$A:$A,0))&amp;"")</f>
        <v/>
      </c>
      <c r="D153" s="12">
        <f>IF($A153="","",INDEX(ref_indicateurs!$E:$E,MATCH($A153,ref_indicateurs!$A:$A,0))&amp;"")</f>
        <v/>
      </c>
      <c r="E153" s="12">
        <f>IF($A153="","",INDEX(ref_indicateurs!$M:$M,MATCH($A153,ref_indicateurs!$A:$A,0))&amp;"")</f>
        <v/>
      </c>
      <c r="F153" s="12">
        <f>IF($A153="","",IF(INDEX(ref_indicateurs!$O:$O,MATCH($A153,ref_indicateurs!$A:$A,0))="","",INDEX(ref_indicateurs!$O:$O,MATCH($A153,ref_indicateurs!$A:$A,0))))</f>
        <v/>
      </c>
      <c r="G153" s="13">
        <f>IF($A153="","",SUMIFS(saisie_hebdo!$L:$L,saisie_hebdo!$I:$I,$A153))</f>
        <v/>
      </c>
      <c r="H153" s="13">
        <f>IF($A153="","",SUMIFS(saisie_hebdo!$M:$M,saisie_hebdo!$I:$I,$A153))</f>
        <v/>
      </c>
      <c r="I153" s="14">
        <f>IF(OR($A153="",L153=0),"",IF(D153="Pourcentage",IF(H153&gt;0,G153/H153*100,""),G153))</f>
        <v/>
      </c>
      <c r="J153" s="15">
        <f>IF(OR(I153="",F153="",F153=0),"",I153/F153)</f>
        <v/>
      </c>
      <c r="K153" s="12">
        <f>IF(OR($A153="",L153=0),"",IF(_xlfn.MAXIFS(saisie_hebdo!$C:$C,saisie_hebdo!$I:$I,$A153)=0,"",_xlfn.MAXIFS(saisie_hebdo!$C:$C,saisie_hebdo!$I:$I,$A153)))</f>
        <v/>
      </c>
      <c r="L153" s="12">
        <f>IF($A153="","",COUNTIFS(saisie_hebdo!$I:$I,$A153))</f>
        <v/>
      </c>
      <c r="M153" s="12">
        <f>IF($A153="","",IF(L153=0,"Non rapporté",IF(F153="","Suivi sans cible",IF(D153="Pourcentage",IF(I153&gt;=F153,"Cible atteinte","Sous la cible"),IF(J153&gt;=1,"Cible atteinte","En cours")))))</f>
        <v/>
      </c>
    </row>
    <row r="154">
      <c r="A154" s="12">
        <f>IFERROR(INDEX(ref_indicateurs!$A:$A,151)&amp;"","")</f>
        <v/>
      </c>
      <c r="B154" s="12">
        <f>IF($A154="","",INDEX(ref_indicateurs!$B:$B,MATCH($A154,ref_indicateurs!$A:$A,0))&amp;"")</f>
        <v/>
      </c>
      <c r="C154" s="12">
        <f>IF($A154="","",INDEX(ref_indicateurs!$C:$C,MATCH($A154,ref_indicateurs!$A:$A,0))&amp;"")</f>
        <v/>
      </c>
      <c r="D154" s="12">
        <f>IF($A154="","",INDEX(ref_indicateurs!$E:$E,MATCH($A154,ref_indicateurs!$A:$A,0))&amp;"")</f>
        <v/>
      </c>
      <c r="E154" s="12">
        <f>IF($A154="","",INDEX(ref_indicateurs!$M:$M,MATCH($A154,ref_indicateurs!$A:$A,0))&amp;"")</f>
        <v/>
      </c>
      <c r="F154" s="12">
        <f>IF($A154="","",IF(INDEX(ref_indicateurs!$O:$O,MATCH($A154,ref_indicateurs!$A:$A,0))="","",INDEX(ref_indicateurs!$O:$O,MATCH($A154,ref_indicateurs!$A:$A,0))))</f>
        <v/>
      </c>
      <c r="G154" s="13">
        <f>IF($A154="","",SUMIFS(saisie_hebdo!$L:$L,saisie_hebdo!$I:$I,$A154))</f>
        <v/>
      </c>
      <c r="H154" s="13">
        <f>IF($A154="","",SUMIFS(saisie_hebdo!$M:$M,saisie_hebdo!$I:$I,$A154))</f>
        <v/>
      </c>
      <c r="I154" s="14">
        <f>IF(OR($A154="",L154=0),"",IF(D154="Pourcentage",IF(H154&gt;0,G154/H154*100,""),G154))</f>
        <v/>
      </c>
      <c r="J154" s="15">
        <f>IF(OR(I154="",F154="",F154=0),"",I154/F154)</f>
        <v/>
      </c>
      <c r="K154" s="12">
        <f>IF(OR($A154="",L154=0),"",IF(_xlfn.MAXIFS(saisie_hebdo!$C:$C,saisie_hebdo!$I:$I,$A154)=0,"",_xlfn.MAXIFS(saisie_hebdo!$C:$C,saisie_hebdo!$I:$I,$A154)))</f>
        <v/>
      </c>
      <c r="L154" s="12">
        <f>IF($A154="","",COUNTIFS(saisie_hebdo!$I:$I,$A154))</f>
        <v/>
      </c>
      <c r="M154" s="12">
        <f>IF($A154="","",IF(L154=0,"Non rapporté",IF(F154="","Suivi sans cible",IF(D154="Pourcentage",IF(I154&gt;=F154,"Cible atteinte","Sous la cible"),IF(J154&gt;=1,"Cible atteinte","En cours")))))</f>
        <v/>
      </c>
    </row>
    <row r="155">
      <c r="A155" s="12">
        <f>IFERROR(INDEX(ref_indicateurs!$A:$A,152)&amp;"","")</f>
        <v/>
      </c>
      <c r="B155" s="12">
        <f>IF($A155="","",INDEX(ref_indicateurs!$B:$B,MATCH($A155,ref_indicateurs!$A:$A,0))&amp;"")</f>
        <v/>
      </c>
      <c r="C155" s="12">
        <f>IF($A155="","",INDEX(ref_indicateurs!$C:$C,MATCH($A155,ref_indicateurs!$A:$A,0))&amp;"")</f>
        <v/>
      </c>
      <c r="D155" s="12">
        <f>IF($A155="","",INDEX(ref_indicateurs!$E:$E,MATCH($A155,ref_indicateurs!$A:$A,0))&amp;"")</f>
        <v/>
      </c>
      <c r="E155" s="12">
        <f>IF($A155="","",INDEX(ref_indicateurs!$M:$M,MATCH($A155,ref_indicateurs!$A:$A,0))&amp;"")</f>
        <v/>
      </c>
      <c r="F155" s="12">
        <f>IF($A155="","",IF(INDEX(ref_indicateurs!$O:$O,MATCH($A155,ref_indicateurs!$A:$A,0))="","",INDEX(ref_indicateurs!$O:$O,MATCH($A155,ref_indicateurs!$A:$A,0))))</f>
        <v/>
      </c>
      <c r="G155" s="13">
        <f>IF($A155="","",SUMIFS(saisie_hebdo!$L:$L,saisie_hebdo!$I:$I,$A155))</f>
        <v/>
      </c>
      <c r="H155" s="13">
        <f>IF($A155="","",SUMIFS(saisie_hebdo!$M:$M,saisie_hebdo!$I:$I,$A155))</f>
        <v/>
      </c>
      <c r="I155" s="14">
        <f>IF(OR($A155="",L155=0),"",IF(D155="Pourcentage",IF(H155&gt;0,G155/H155*100,""),G155))</f>
        <v/>
      </c>
      <c r="J155" s="15">
        <f>IF(OR(I155="",F155="",F155=0),"",I155/F155)</f>
        <v/>
      </c>
      <c r="K155" s="12">
        <f>IF(OR($A155="",L155=0),"",IF(_xlfn.MAXIFS(saisie_hebdo!$C:$C,saisie_hebdo!$I:$I,$A155)=0,"",_xlfn.MAXIFS(saisie_hebdo!$C:$C,saisie_hebdo!$I:$I,$A155)))</f>
        <v/>
      </c>
      <c r="L155" s="12">
        <f>IF($A155="","",COUNTIFS(saisie_hebdo!$I:$I,$A155))</f>
        <v/>
      </c>
      <c r="M155" s="12">
        <f>IF($A155="","",IF(L155=0,"Non rapporté",IF(F155="","Suivi sans cible",IF(D155="Pourcentage",IF(I155&gt;=F155,"Cible atteinte","Sous la cible"),IF(J155&gt;=1,"Cible atteinte","En cours")))))</f>
        <v/>
      </c>
    </row>
    <row r="156">
      <c r="A156" s="12">
        <f>IFERROR(INDEX(ref_indicateurs!$A:$A,153)&amp;"","")</f>
        <v/>
      </c>
      <c r="B156" s="12">
        <f>IF($A156="","",INDEX(ref_indicateurs!$B:$B,MATCH($A156,ref_indicateurs!$A:$A,0))&amp;"")</f>
        <v/>
      </c>
      <c r="C156" s="12">
        <f>IF($A156="","",INDEX(ref_indicateurs!$C:$C,MATCH($A156,ref_indicateurs!$A:$A,0))&amp;"")</f>
        <v/>
      </c>
      <c r="D156" s="12">
        <f>IF($A156="","",INDEX(ref_indicateurs!$E:$E,MATCH($A156,ref_indicateurs!$A:$A,0))&amp;"")</f>
        <v/>
      </c>
      <c r="E156" s="12">
        <f>IF($A156="","",INDEX(ref_indicateurs!$M:$M,MATCH($A156,ref_indicateurs!$A:$A,0))&amp;"")</f>
        <v/>
      </c>
      <c r="F156" s="12">
        <f>IF($A156="","",IF(INDEX(ref_indicateurs!$O:$O,MATCH($A156,ref_indicateurs!$A:$A,0))="","",INDEX(ref_indicateurs!$O:$O,MATCH($A156,ref_indicateurs!$A:$A,0))))</f>
        <v/>
      </c>
      <c r="G156" s="13">
        <f>IF($A156="","",SUMIFS(saisie_hebdo!$L:$L,saisie_hebdo!$I:$I,$A156))</f>
        <v/>
      </c>
      <c r="H156" s="13">
        <f>IF($A156="","",SUMIFS(saisie_hebdo!$M:$M,saisie_hebdo!$I:$I,$A156))</f>
        <v/>
      </c>
      <c r="I156" s="14">
        <f>IF(OR($A156="",L156=0),"",IF(D156="Pourcentage",IF(H156&gt;0,G156/H156*100,""),G156))</f>
        <v/>
      </c>
      <c r="J156" s="15">
        <f>IF(OR(I156="",F156="",F156=0),"",I156/F156)</f>
        <v/>
      </c>
      <c r="K156" s="12">
        <f>IF(OR($A156="",L156=0),"",IF(_xlfn.MAXIFS(saisie_hebdo!$C:$C,saisie_hebdo!$I:$I,$A156)=0,"",_xlfn.MAXIFS(saisie_hebdo!$C:$C,saisie_hebdo!$I:$I,$A156)))</f>
        <v/>
      </c>
      <c r="L156" s="12">
        <f>IF($A156="","",COUNTIFS(saisie_hebdo!$I:$I,$A156))</f>
        <v/>
      </c>
      <c r="M156" s="12">
        <f>IF($A156="","",IF(L156=0,"Non rapporté",IF(F156="","Suivi sans cible",IF(D156="Pourcentage",IF(I156&gt;=F156,"Cible atteinte","Sous la cible"),IF(J156&gt;=1,"Cible atteinte","En cours")))))</f>
        <v/>
      </c>
    </row>
    <row r="157">
      <c r="A157" s="12">
        <f>IFERROR(INDEX(ref_indicateurs!$A:$A,154)&amp;"","")</f>
        <v/>
      </c>
      <c r="B157" s="12">
        <f>IF($A157="","",INDEX(ref_indicateurs!$B:$B,MATCH($A157,ref_indicateurs!$A:$A,0))&amp;"")</f>
        <v/>
      </c>
      <c r="C157" s="12">
        <f>IF($A157="","",INDEX(ref_indicateurs!$C:$C,MATCH($A157,ref_indicateurs!$A:$A,0))&amp;"")</f>
        <v/>
      </c>
      <c r="D157" s="12">
        <f>IF($A157="","",INDEX(ref_indicateurs!$E:$E,MATCH($A157,ref_indicateurs!$A:$A,0))&amp;"")</f>
        <v/>
      </c>
      <c r="E157" s="12">
        <f>IF($A157="","",INDEX(ref_indicateurs!$M:$M,MATCH($A157,ref_indicateurs!$A:$A,0))&amp;"")</f>
        <v/>
      </c>
      <c r="F157" s="12">
        <f>IF($A157="","",IF(INDEX(ref_indicateurs!$O:$O,MATCH($A157,ref_indicateurs!$A:$A,0))="","",INDEX(ref_indicateurs!$O:$O,MATCH($A157,ref_indicateurs!$A:$A,0))))</f>
        <v/>
      </c>
      <c r="G157" s="13">
        <f>IF($A157="","",SUMIFS(saisie_hebdo!$L:$L,saisie_hebdo!$I:$I,$A157))</f>
        <v/>
      </c>
      <c r="H157" s="13">
        <f>IF($A157="","",SUMIFS(saisie_hebdo!$M:$M,saisie_hebdo!$I:$I,$A157))</f>
        <v/>
      </c>
      <c r="I157" s="14">
        <f>IF(OR($A157="",L157=0),"",IF(D157="Pourcentage",IF(H157&gt;0,G157/H157*100,""),G157))</f>
        <v/>
      </c>
      <c r="J157" s="15">
        <f>IF(OR(I157="",F157="",F157=0),"",I157/F157)</f>
        <v/>
      </c>
      <c r="K157" s="12">
        <f>IF(OR($A157="",L157=0),"",IF(_xlfn.MAXIFS(saisie_hebdo!$C:$C,saisie_hebdo!$I:$I,$A157)=0,"",_xlfn.MAXIFS(saisie_hebdo!$C:$C,saisie_hebdo!$I:$I,$A157)))</f>
        <v/>
      </c>
      <c r="L157" s="12">
        <f>IF($A157="","",COUNTIFS(saisie_hebdo!$I:$I,$A157))</f>
        <v/>
      </c>
      <c r="M157" s="12">
        <f>IF($A157="","",IF(L157=0,"Non rapporté",IF(F157="","Suivi sans cible",IF(D157="Pourcentage",IF(I157&gt;=F157,"Cible atteinte","Sous la cible"),IF(J157&gt;=1,"Cible atteinte","En cours")))))</f>
        <v/>
      </c>
    </row>
    <row r="158">
      <c r="A158" s="12">
        <f>IFERROR(INDEX(ref_indicateurs!$A:$A,155)&amp;"","")</f>
        <v/>
      </c>
      <c r="B158" s="12">
        <f>IF($A158="","",INDEX(ref_indicateurs!$B:$B,MATCH($A158,ref_indicateurs!$A:$A,0))&amp;"")</f>
        <v/>
      </c>
      <c r="C158" s="12">
        <f>IF($A158="","",INDEX(ref_indicateurs!$C:$C,MATCH($A158,ref_indicateurs!$A:$A,0))&amp;"")</f>
        <v/>
      </c>
      <c r="D158" s="12">
        <f>IF($A158="","",INDEX(ref_indicateurs!$E:$E,MATCH($A158,ref_indicateurs!$A:$A,0))&amp;"")</f>
        <v/>
      </c>
      <c r="E158" s="12">
        <f>IF($A158="","",INDEX(ref_indicateurs!$M:$M,MATCH($A158,ref_indicateurs!$A:$A,0))&amp;"")</f>
        <v/>
      </c>
      <c r="F158" s="12">
        <f>IF($A158="","",IF(INDEX(ref_indicateurs!$O:$O,MATCH($A158,ref_indicateurs!$A:$A,0))="","",INDEX(ref_indicateurs!$O:$O,MATCH($A158,ref_indicateurs!$A:$A,0))))</f>
        <v/>
      </c>
      <c r="G158" s="13">
        <f>IF($A158="","",SUMIFS(saisie_hebdo!$L:$L,saisie_hebdo!$I:$I,$A158))</f>
        <v/>
      </c>
      <c r="H158" s="13">
        <f>IF($A158="","",SUMIFS(saisie_hebdo!$M:$M,saisie_hebdo!$I:$I,$A158))</f>
        <v/>
      </c>
      <c r="I158" s="14">
        <f>IF(OR($A158="",L158=0),"",IF(D158="Pourcentage",IF(H158&gt;0,G158/H158*100,""),G158))</f>
        <v/>
      </c>
      <c r="J158" s="15">
        <f>IF(OR(I158="",F158="",F158=0),"",I158/F158)</f>
        <v/>
      </c>
      <c r="K158" s="12">
        <f>IF(OR($A158="",L158=0),"",IF(_xlfn.MAXIFS(saisie_hebdo!$C:$C,saisie_hebdo!$I:$I,$A158)=0,"",_xlfn.MAXIFS(saisie_hebdo!$C:$C,saisie_hebdo!$I:$I,$A158)))</f>
        <v/>
      </c>
      <c r="L158" s="12">
        <f>IF($A158="","",COUNTIFS(saisie_hebdo!$I:$I,$A158))</f>
        <v/>
      </c>
      <c r="M158" s="12">
        <f>IF($A158="","",IF(L158=0,"Non rapporté",IF(F158="","Suivi sans cible",IF(D158="Pourcentage",IF(I158&gt;=F158,"Cible atteinte","Sous la cible"),IF(J158&gt;=1,"Cible atteinte","En cours")))))</f>
        <v/>
      </c>
    </row>
    <row r="159">
      <c r="A159" s="12">
        <f>IFERROR(INDEX(ref_indicateurs!$A:$A,156)&amp;"","")</f>
        <v/>
      </c>
      <c r="B159" s="12">
        <f>IF($A159="","",INDEX(ref_indicateurs!$B:$B,MATCH($A159,ref_indicateurs!$A:$A,0))&amp;"")</f>
        <v/>
      </c>
      <c r="C159" s="12">
        <f>IF($A159="","",INDEX(ref_indicateurs!$C:$C,MATCH($A159,ref_indicateurs!$A:$A,0))&amp;"")</f>
        <v/>
      </c>
      <c r="D159" s="12">
        <f>IF($A159="","",INDEX(ref_indicateurs!$E:$E,MATCH($A159,ref_indicateurs!$A:$A,0))&amp;"")</f>
        <v/>
      </c>
      <c r="E159" s="12">
        <f>IF($A159="","",INDEX(ref_indicateurs!$M:$M,MATCH($A159,ref_indicateurs!$A:$A,0))&amp;"")</f>
        <v/>
      </c>
      <c r="F159" s="12">
        <f>IF($A159="","",IF(INDEX(ref_indicateurs!$O:$O,MATCH($A159,ref_indicateurs!$A:$A,0))="","",INDEX(ref_indicateurs!$O:$O,MATCH($A159,ref_indicateurs!$A:$A,0))))</f>
        <v/>
      </c>
      <c r="G159" s="13">
        <f>IF($A159="","",SUMIFS(saisie_hebdo!$L:$L,saisie_hebdo!$I:$I,$A159))</f>
        <v/>
      </c>
      <c r="H159" s="13">
        <f>IF($A159="","",SUMIFS(saisie_hebdo!$M:$M,saisie_hebdo!$I:$I,$A159))</f>
        <v/>
      </c>
      <c r="I159" s="14">
        <f>IF(OR($A159="",L159=0),"",IF(D159="Pourcentage",IF(H159&gt;0,G159/H159*100,""),G159))</f>
        <v/>
      </c>
      <c r="J159" s="15">
        <f>IF(OR(I159="",F159="",F159=0),"",I159/F159)</f>
        <v/>
      </c>
      <c r="K159" s="12">
        <f>IF(OR($A159="",L159=0),"",IF(_xlfn.MAXIFS(saisie_hebdo!$C:$C,saisie_hebdo!$I:$I,$A159)=0,"",_xlfn.MAXIFS(saisie_hebdo!$C:$C,saisie_hebdo!$I:$I,$A159)))</f>
        <v/>
      </c>
      <c r="L159" s="12">
        <f>IF($A159="","",COUNTIFS(saisie_hebdo!$I:$I,$A159))</f>
        <v/>
      </c>
      <c r="M159" s="12">
        <f>IF($A159="","",IF(L159=0,"Non rapporté",IF(F159="","Suivi sans cible",IF(D159="Pourcentage",IF(I159&gt;=F159,"Cible atteinte","Sous la cible"),IF(J159&gt;=1,"Cible atteinte","En cours")))))</f>
        <v/>
      </c>
    </row>
    <row r="160">
      <c r="A160" s="12">
        <f>IFERROR(INDEX(ref_indicateurs!$A:$A,157)&amp;"","")</f>
        <v/>
      </c>
      <c r="B160" s="12">
        <f>IF($A160="","",INDEX(ref_indicateurs!$B:$B,MATCH($A160,ref_indicateurs!$A:$A,0))&amp;"")</f>
        <v/>
      </c>
      <c r="C160" s="12">
        <f>IF($A160="","",INDEX(ref_indicateurs!$C:$C,MATCH($A160,ref_indicateurs!$A:$A,0))&amp;"")</f>
        <v/>
      </c>
      <c r="D160" s="12">
        <f>IF($A160="","",INDEX(ref_indicateurs!$E:$E,MATCH($A160,ref_indicateurs!$A:$A,0))&amp;"")</f>
        <v/>
      </c>
      <c r="E160" s="12">
        <f>IF($A160="","",INDEX(ref_indicateurs!$M:$M,MATCH($A160,ref_indicateurs!$A:$A,0))&amp;"")</f>
        <v/>
      </c>
      <c r="F160" s="12">
        <f>IF($A160="","",IF(INDEX(ref_indicateurs!$O:$O,MATCH($A160,ref_indicateurs!$A:$A,0))="","",INDEX(ref_indicateurs!$O:$O,MATCH($A160,ref_indicateurs!$A:$A,0))))</f>
        <v/>
      </c>
      <c r="G160" s="13">
        <f>IF($A160="","",SUMIFS(saisie_hebdo!$L:$L,saisie_hebdo!$I:$I,$A160))</f>
        <v/>
      </c>
      <c r="H160" s="13">
        <f>IF($A160="","",SUMIFS(saisie_hebdo!$M:$M,saisie_hebdo!$I:$I,$A160))</f>
        <v/>
      </c>
      <c r="I160" s="14">
        <f>IF(OR($A160="",L160=0),"",IF(D160="Pourcentage",IF(H160&gt;0,G160/H160*100,""),G160))</f>
        <v/>
      </c>
      <c r="J160" s="15">
        <f>IF(OR(I160="",F160="",F160=0),"",I160/F160)</f>
        <v/>
      </c>
      <c r="K160" s="12">
        <f>IF(OR($A160="",L160=0),"",IF(_xlfn.MAXIFS(saisie_hebdo!$C:$C,saisie_hebdo!$I:$I,$A160)=0,"",_xlfn.MAXIFS(saisie_hebdo!$C:$C,saisie_hebdo!$I:$I,$A160)))</f>
        <v/>
      </c>
      <c r="L160" s="12">
        <f>IF($A160="","",COUNTIFS(saisie_hebdo!$I:$I,$A160))</f>
        <v/>
      </c>
      <c r="M160" s="12">
        <f>IF($A160="","",IF(L160=0,"Non rapporté",IF(F160="","Suivi sans cible",IF(D160="Pourcentage",IF(I160&gt;=F160,"Cible atteinte","Sous la cible"),IF(J160&gt;=1,"Cible atteinte","En cours")))))</f>
        <v/>
      </c>
    </row>
    <row r="161">
      <c r="A161" s="12">
        <f>IFERROR(INDEX(ref_indicateurs!$A:$A,158)&amp;"","")</f>
        <v/>
      </c>
      <c r="B161" s="12">
        <f>IF($A161="","",INDEX(ref_indicateurs!$B:$B,MATCH($A161,ref_indicateurs!$A:$A,0))&amp;"")</f>
        <v/>
      </c>
      <c r="C161" s="12">
        <f>IF($A161="","",INDEX(ref_indicateurs!$C:$C,MATCH($A161,ref_indicateurs!$A:$A,0))&amp;"")</f>
        <v/>
      </c>
      <c r="D161" s="12">
        <f>IF($A161="","",INDEX(ref_indicateurs!$E:$E,MATCH($A161,ref_indicateurs!$A:$A,0))&amp;"")</f>
        <v/>
      </c>
      <c r="E161" s="12">
        <f>IF($A161="","",INDEX(ref_indicateurs!$M:$M,MATCH($A161,ref_indicateurs!$A:$A,0))&amp;"")</f>
        <v/>
      </c>
      <c r="F161" s="12">
        <f>IF($A161="","",IF(INDEX(ref_indicateurs!$O:$O,MATCH($A161,ref_indicateurs!$A:$A,0))="","",INDEX(ref_indicateurs!$O:$O,MATCH($A161,ref_indicateurs!$A:$A,0))))</f>
        <v/>
      </c>
      <c r="G161" s="13">
        <f>IF($A161="","",SUMIFS(saisie_hebdo!$L:$L,saisie_hebdo!$I:$I,$A161))</f>
        <v/>
      </c>
      <c r="H161" s="13">
        <f>IF($A161="","",SUMIFS(saisie_hebdo!$M:$M,saisie_hebdo!$I:$I,$A161))</f>
        <v/>
      </c>
      <c r="I161" s="14">
        <f>IF(OR($A161="",L161=0),"",IF(D161="Pourcentage",IF(H161&gt;0,G161/H161*100,""),G161))</f>
        <v/>
      </c>
      <c r="J161" s="15">
        <f>IF(OR(I161="",F161="",F161=0),"",I161/F161)</f>
        <v/>
      </c>
      <c r="K161" s="12">
        <f>IF(OR($A161="",L161=0),"",IF(_xlfn.MAXIFS(saisie_hebdo!$C:$C,saisie_hebdo!$I:$I,$A161)=0,"",_xlfn.MAXIFS(saisie_hebdo!$C:$C,saisie_hebdo!$I:$I,$A161)))</f>
        <v/>
      </c>
      <c r="L161" s="12">
        <f>IF($A161="","",COUNTIFS(saisie_hebdo!$I:$I,$A161))</f>
        <v/>
      </c>
      <c r="M161" s="12">
        <f>IF($A161="","",IF(L161=0,"Non rapporté",IF(F161="","Suivi sans cible",IF(D161="Pourcentage",IF(I161&gt;=F161,"Cible atteinte","Sous la cible"),IF(J161&gt;=1,"Cible atteinte","En cours")))))</f>
        <v/>
      </c>
    </row>
    <row r="162">
      <c r="A162" s="12">
        <f>IFERROR(INDEX(ref_indicateurs!$A:$A,159)&amp;"","")</f>
        <v/>
      </c>
      <c r="B162" s="12">
        <f>IF($A162="","",INDEX(ref_indicateurs!$B:$B,MATCH($A162,ref_indicateurs!$A:$A,0))&amp;"")</f>
        <v/>
      </c>
      <c r="C162" s="12">
        <f>IF($A162="","",INDEX(ref_indicateurs!$C:$C,MATCH($A162,ref_indicateurs!$A:$A,0))&amp;"")</f>
        <v/>
      </c>
      <c r="D162" s="12">
        <f>IF($A162="","",INDEX(ref_indicateurs!$E:$E,MATCH($A162,ref_indicateurs!$A:$A,0))&amp;"")</f>
        <v/>
      </c>
      <c r="E162" s="12">
        <f>IF($A162="","",INDEX(ref_indicateurs!$M:$M,MATCH($A162,ref_indicateurs!$A:$A,0))&amp;"")</f>
        <v/>
      </c>
      <c r="F162" s="12">
        <f>IF($A162="","",IF(INDEX(ref_indicateurs!$O:$O,MATCH($A162,ref_indicateurs!$A:$A,0))="","",INDEX(ref_indicateurs!$O:$O,MATCH($A162,ref_indicateurs!$A:$A,0))))</f>
        <v/>
      </c>
      <c r="G162" s="13">
        <f>IF($A162="","",SUMIFS(saisie_hebdo!$L:$L,saisie_hebdo!$I:$I,$A162))</f>
        <v/>
      </c>
      <c r="H162" s="13">
        <f>IF($A162="","",SUMIFS(saisie_hebdo!$M:$M,saisie_hebdo!$I:$I,$A162))</f>
        <v/>
      </c>
      <c r="I162" s="14">
        <f>IF(OR($A162="",L162=0),"",IF(D162="Pourcentage",IF(H162&gt;0,G162/H162*100,""),G162))</f>
        <v/>
      </c>
      <c r="J162" s="15">
        <f>IF(OR(I162="",F162="",F162=0),"",I162/F162)</f>
        <v/>
      </c>
      <c r="K162" s="12">
        <f>IF(OR($A162="",L162=0),"",IF(_xlfn.MAXIFS(saisie_hebdo!$C:$C,saisie_hebdo!$I:$I,$A162)=0,"",_xlfn.MAXIFS(saisie_hebdo!$C:$C,saisie_hebdo!$I:$I,$A162)))</f>
        <v/>
      </c>
      <c r="L162" s="12">
        <f>IF($A162="","",COUNTIFS(saisie_hebdo!$I:$I,$A162))</f>
        <v/>
      </c>
      <c r="M162" s="12">
        <f>IF($A162="","",IF(L162=0,"Non rapporté",IF(F162="","Suivi sans cible",IF(D162="Pourcentage",IF(I162&gt;=F162,"Cible atteinte","Sous la cible"),IF(J162&gt;=1,"Cible atteinte","En cours")))))</f>
        <v/>
      </c>
    </row>
    <row r="163">
      <c r="A163" s="12">
        <f>IFERROR(INDEX(ref_indicateurs!$A:$A,160)&amp;"","")</f>
        <v/>
      </c>
      <c r="B163" s="12">
        <f>IF($A163="","",INDEX(ref_indicateurs!$B:$B,MATCH($A163,ref_indicateurs!$A:$A,0))&amp;"")</f>
        <v/>
      </c>
      <c r="C163" s="12">
        <f>IF($A163="","",INDEX(ref_indicateurs!$C:$C,MATCH($A163,ref_indicateurs!$A:$A,0))&amp;"")</f>
        <v/>
      </c>
      <c r="D163" s="12">
        <f>IF($A163="","",INDEX(ref_indicateurs!$E:$E,MATCH($A163,ref_indicateurs!$A:$A,0))&amp;"")</f>
        <v/>
      </c>
      <c r="E163" s="12">
        <f>IF($A163="","",INDEX(ref_indicateurs!$M:$M,MATCH($A163,ref_indicateurs!$A:$A,0))&amp;"")</f>
        <v/>
      </c>
      <c r="F163" s="12">
        <f>IF($A163="","",IF(INDEX(ref_indicateurs!$O:$O,MATCH($A163,ref_indicateurs!$A:$A,0))="","",INDEX(ref_indicateurs!$O:$O,MATCH($A163,ref_indicateurs!$A:$A,0))))</f>
        <v/>
      </c>
      <c r="G163" s="13">
        <f>IF($A163="","",SUMIFS(saisie_hebdo!$L:$L,saisie_hebdo!$I:$I,$A163))</f>
        <v/>
      </c>
      <c r="H163" s="13">
        <f>IF($A163="","",SUMIFS(saisie_hebdo!$M:$M,saisie_hebdo!$I:$I,$A163))</f>
        <v/>
      </c>
      <c r="I163" s="14">
        <f>IF(OR($A163="",L163=0),"",IF(D163="Pourcentage",IF(H163&gt;0,G163/H163*100,""),G163))</f>
        <v/>
      </c>
      <c r="J163" s="15">
        <f>IF(OR(I163="",F163="",F163=0),"",I163/F163)</f>
        <v/>
      </c>
      <c r="K163" s="12">
        <f>IF(OR($A163="",L163=0),"",IF(_xlfn.MAXIFS(saisie_hebdo!$C:$C,saisie_hebdo!$I:$I,$A163)=0,"",_xlfn.MAXIFS(saisie_hebdo!$C:$C,saisie_hebdo!$I:$I,$A163)))</f>
        <v/>
      </c>
      <c r="L163" s="12">
        <f>IF($A163="","",COUNTIFS(saisie_hebdo!$I:$I,$A163))</f>
        <v/>
      </c>
      <c r="M163" s="12">
        <f>IF($A163="","",IF(L163=0,"Non rapporté",IF(F163="","Suivi sans cible",IF(D163="Pourcentage",IF(I163&gt;=F163,"Cible atteinte","Sous la cible"),IF(J163&gt;=1,"Cible atteinte","En cours")))))</f>
        <v/>
      </c>
    </row>
    <row r="164">
      <c r="A164" s="12">
        <f>IFERROR(INDEX(ref_indicateurs!$A:$A,161)&amp;"","")</f>
        <v/>
      </c>
      <c r="B164" s="12">
        <f>IF($A164="","",INDEX(ref_indicateurs!$B:$B,MATCH($A164,ref_indicateurs!$A:$A,0))&amp;"")</f>
        <v/>
      </c>
      <c r="C164" s="12">
        <f>IF($A164="","",INDEX(ref_indicateurs!$C:$C,MATCH($A164,ref_indicateurs!$A:$A,0))&amp;"")</f>
        <v/>
      </c>
      <c r="D164" s="12">
        <f>IF($A164="","",INDEX(ref_indicateurs!$E:$E,MATCH($A164,ref_indicateurs!$A:$A,0))&amp;"")</f>
        <v/>
      </c>
      <c r="E164" s="12">
        <f>IF($A164="","",INDEX(ref_indicateurs!$M:$M,MATCH($A164,ref_indicateurs!$A:$A,0))&amp;"")</f>
        <v/>
      </c>
      <c r="F164" s="12">
        <f>IF($A164="","",IF(INDEX(ref_indicateurs!$O:$O,MATCH($A164,ref_indicateurs!$A:$A,0))="","",INDEX(ref_indicateurs!$O:$O,MATCH($A164,ref_indicateurs!$A:$A,0))))</f>
        <v/>
      </c>
      <c r="G164" s="13">
        <f>IF($A164="","",SUMIFS(saisie_hebdo!$L:$L,saisie_hebdo!$I:$I,$A164))</f>
        <v/>
      </c>
      <c r="H164" s="13">
        <f>IF($A164="","",SUMIFS(saisie_hebdo!$M:$M,saisie_hebdo!$I:$I,$A164))</f>
        <v/>
      </c>
      <c r="I164" s="14">
        <f>IF(OR($A164="",L164=0),"",IF(D164="Pourcentage",IF(H164&gt;0,G164/H164*100,""),G164))</f>
        <v/>
      </c>
      <c r="J164" s="15">
        <f>IF(OR(I164="",F164="",F164=0),"",I164/F164)</f>
        <v/>
      </c>
      <c r="K164" s="12">
        <f>IF(OR($A164="",L164=0),"",IF(_xlfn.MAXIFS(saisie_hebdo!$C:$C,saisie_hebdo!$I:$I,$A164)=0,"",_xlfn.MAXIFS(saisie_hebdo!$C:$C,saisie_hebdo!$I:$I,$A164)))</f>
        <v/>
      </c>
      <c r="L164" s="12">
        <f>IF($A164="","",COUNTIFS(saisie_hebdo!$I:$I,$A164))</f>
        <v/>
      </c>
      <c r="M164" s="12">
        <f>IF($A164="","",IF(L164=0,"Non rapporté",IF(F164="","Suivi sans cible",IF(D164="Pourcentage",IF(I164&gt;=F164,"Cible atteinte","Sous la cible"),IF(J164&gt;=1,"Cible atteinte","En cours")))))</f>
        <v/>
      </c>
    </row>
    <row r="165">
      <c r="A165" s="12">
        <f>IFERROR(INDEX(ref_indicateurs!$A:$A,162)&amp;"","")</f>
        <v/>
      </c>
      <c r="B165" s="12">
        <f>IF($A165="","",INDEX(ref_indicateurs!$B:$B,MATCH($A165,ref_indicateurs!$A:$A,0))&amp;"")</f>
        <v/>
      </c>
      <c r="C165" s="12">
        <f>IF($A165="","",INDEX(ref_indicateurs!$C:$C,MATCH($A165,ref_indicateurs!$A:$A,0))&amp;"")</f>
        <v/>
      </c>
      <c r="D165" s="12">
        <f>IF($A165="","",INDEX(ref_indicateurs!$E:$E,MATCH($A165,ref_indicateurs!$A:$A,0))&amp;"")</f>
        <v/>
      </c>
      <c r="E165" s="12">
        <f>IF($A165="","",INDEX(ref_indicateurs!$M:$M,MATCH($A165,ref_indicateurs!$A:$A,0))&amp;"")</f>
        <v/>
      </c>
      <c r="F165" s="12">
        <f>IF($A165="","",IF(INDEX(ref_indicateurs!$O:$O,MATCH($A165,ref_indicateurs!$A:$A,0))="","",INDEX(ref_indicateurs!$O:$O,MATCH($A165,ref_indicateurs!$A:$A,0))))</f>
        <v/>
      </c>
      <c r="G165" s="13">
        <f>IF($A165="","",SUMIFS(saisie_hebdo!$L:$L,saisie_hebdo!$I:$I,$A165))</f>
        <v/>
      </c>
      <c r="H165" s="13">
        <f>IF($A165="","",SUMIFS(saisie_hebdo!$M:$M,saisie_hebdo!$I:$I,$A165))</f>
        <v/>
      </c>
      <c r="I165" s="14">
        <f>IF(OR($A165="",L165=0),"",IF(D165="Pourcentage",IF(H165&gt;0,G165/H165*100,""),G165))</f>
        <v/>
      </c>
      <c r="J165" s="15">
        <f>IF(OR(I165="",F165="",F165=0),"",I165/F165)</f>
        <v/>
      </c>
      <c r="K165" s="12">
        <f>IF(OR($A165="",L165=0),"",IF(_xlfn.MAXIFS(saisie_hebdo!$C:$C,saisie_hebdo!$I:$I,$A165)=0,"",_xlfn.MAXIFS(saisie_hebdo!$C:$C,saisie_hebdo!$I:$I,$A165)))</f>
        <v/>
      </c>
      <c r="L165" s="12">
        <f>IF($A165="","",COUNTIFS(saisie_hebdo!$I:$I,$A165))</f>
        <v/>
      </c>
      <c r="M165" s="12">
        <f>IF($A165="","",IF(L165=0,"Non rapporté",IF(F165="","Suivi sans cible",IF(D165="Pourcentage",IF(I165&gt;=F165,"Cible atteinte","Sous la cible"),IF(J165&gt;=1,"Cible atteinte","En cours")))))</f>
        <v/>
      </c>
    </row>
    <row r="166">
      <c r="A166" s="12">
        <f>IFERROR(INDEX(ref_indicateurs!$A:$A,163)&amp;"","")</f>
        <v/>
      </c>
      <c r="B166" s="12">
        <f>IF($A166="","",INDEX(ref_indicateurs!$B:$B,MATCH($A166,ref_indicateurs!$A:$A,0))&amp;"")</f>
        <v/>
      </c>
      <c r="C166" s="12">
        <f>IF($A166="","",INDEX(ref_indicateurs!$C:$C,MATCH($A166,ref_indicateurs!$A:$A,0))&amp;"")</f>
        <v/>
      </c>
      <c r="D166" s="12">
        <f>IF($A166="","",INDEX(ref_indicateurs!$E:$E,MATCH($A166,ref_indicateurs!$A:$A,0))&amp;"")</f>
        <v/>
      </c>
      <c r="E166" s="12">
        <f>IF($A166="","",INDEX(ref_indicateurs!$M:$M,MATCH($A166,ref_indicateurs!$A:$A,0))&amp;"")</f>
        <v/>
      </c>
      <c r="F166" s="12">
        <f>IF($A166="","",IF(INDEX(ref_indicateurs!$O:$O,MATCH($A166,ref_indicateurs!$A:$A,0))="","",INDEX(ref_indicateurs!$O:$O,MATCH($A166,ref_indicateurs!$A:$A,0))))</f>
        <v/>
      </c>
      <c r="G166" s="13">
        <f>IF($A166="","",SUMIFS(saisie_hebdo!$L:$L,saisie_hebdo!$I:$I,$A166))</f>
        <v/>
      </c>
      <c r="H166" s="13">
        <f>IF($A166="","",SUMIFS(saisie_hebdo!$M:$M,saisie_hebdo!$I:$I,$A166))</f>
        <v/>
      </c>
      <c r="I166" s="14">
        <f>IF(OR($A166="",L166=0),"",IF(D166="Pourcentage",IF(H166&gt;0,G166/H166*100,""),G166))</f>
        <v/>
      </c>
      <c r="J166" s="15">
        <f>IF(OR(I166="",F166="",F166=0),"",I166/F166)</f>
        <v/>
      </c>
      <c r="K166" s="12">
        <f>IF(OR($A166="",L166=0),"",IF(_xlfn.MAXIFS(saisie_hebdo!$C:$C,saisie_hebdo!$I:$I,$A166)=0,"",_xlfn.MAXIFS(saisie_hebdo!$C:$C,saisie_hebdo!$I:$I,$A166)))</f>
        <v/>
      </c>
      <c r="L166" s="12">
        <f>IF($A166="","",COUNTIFS(saisie_hebdo!$I:$I,$A166))</f>
        <v/>
      </c>
      <c r="M166" s="12">
        <f>IF($A166="","",IF(L166=0,"Non rapporté",IF(F166="","Suivi sans cible",IF(D166="Pourcentage",IF(I166&gt;=F166,"Cible atteinte","Sous la cible"),IF(J166&gt;=1,"Cible atteinte","En cours")))))</f>
        <v/>
      </c>
    </row>
    <row r="167">
      <c r="A167" s="12">
        <f>IFERROR(INDEX(ref_indicateurs!$A:$A,164)&amp;"","")</f>
        <v/>
      </c>
      <c r="B167" s="12">
        <f>IF($A167="","",INDEX(ref_indicateurs!$B:$B,MATCH($A167,ref_indicateurs!$A:$A,0))&amp;"")</f>
        <v/>
      </c>
      <c r="C167" s="12">
        <f>IF($A167="","",INDEX(ref_indicateurs!$C:$C,MATCH($A167,ref_indicateurs!$A:$A,0))&amp;"")</f>
        <v/>
      </c>
      <c r="D167" s="12">
        <f>IF($A167="","",INDEX(ref_indicateurs!$E:$E,MATCH($A167,ref_indicateurs!$A:$A,0))&amp;"")</f>
        <v/>
      </c>
      <c r="E167" s="12">
        <f>IF($A167="","",INDEX(ref_indicateurs!$M:$M,MATCH($A167,ref_indicateurs!$A:$A,0))&amp;"")</f>
        <v/>
      </c>
      <c r="F167" s="12">
        <f>IF($A167="","",IF(INDEX(ref_indicateurs!$O:$O,MATCH($A167,ref_indicateurs!$A:$A,0))="","",INDEX(ref_indicateurs!$O:$O,MATCH($A167,ref_indicateurs!$A:$A,0))))</f>
        <v/>
      </c>
      <c r="G167" s="13">
        <f>IF($A167="","",SUMIFS(saisie_hebdo!$L:$L,saisie_hebdo!$I:$I,$A167))</f>
        <v/>
      </c>
      <c r="H167" s="13">
        <f>IF($A167="","",SUMIFS(saisie_hebdo!$M:$M,saisie_hebdo!$I:$I,$A167))</f>
        <v/>
      </c>
      <c r="I167" s="14">
        <f>IF(OR($A167="",L167=0),"",IF(D167="Pourcentage",IF(H167&gt;0,G167/H167*100,""),G167))</f>
        <v/>
      </c>
      <c r="J167" s="15">
        <f>IF(OR(I167="",F167="",F167=0),"",I167/F167)</f>
        <v/>
      </c>
      <c r="K167" s="12">
        <f>IF(OR($A167="",L167=0),"",IF(_xlfn.MAXIFS(saisie_hebdo!$C:$C,saisie_hebdo!$I:$I,$A167)=0,"",_xlfn.MAXIFS(saisie_hebdo!$C:$C,saisie_hebdo!$I:$I,$A167)))</f>
        <v/>
      </c>
      <c r="L167" s="12">
        <f>IF($A167="","",COUNTIFS(saisie_hebdo!$I:$I,$A167))</f>
        <v/>
      </c>
      <c r="M167" s="12">
        <f>IF($A167="","",IF(L167=0,"Non rapporté",IF(F167="","Suivi sans cible",IF(D167="Pourcentage",IF(I167&gt;=F167,"Cible atteinte","Sous la cible"),IF(J167&gt;=1,"Cible atteinte","En cours")))))</f>
        <v/>
      </c>
    </row>
    <row r="168">
      <c r="A168" s="12">
        <f>IFERROR(INDEX(ref_indicateurs!$A:$A,165)&amp;"","")</f>
        <v/>
      </c>
      <c r="B168" s="12">
        <f>IF($A168="","",INDEX(ref_indicateurs!$B:$B,MATCH($A168,ref_indicateurs!$A:$A,0))&amp;"")</f>
        <v/>
      </c>
      <c r="C168" s="12">
        <f>IF($A168="","",INDEX(ref_indicateurs!$C:$C,MATCH($A168,ref_indicateurs!$A:$A,0))&amp;"")</f>
        <v/>
      </c>
      <c r="D168" s="12">
        <f>IF($A168="","",INDEX(ref_indicateurs!$E:$E,MATCH($A168,ref_indicateurs!$A:$A,0))&amp;"")</f>
        <v/>
      </c>
      <c r="E168" s="12">
        <f>IF($A168="","",INDEX(ref_indicateurs!$M:$M,MATCH($A168,ref_indicateurs!$A:$A,0))&amp;"")</f>
        <v/>
      </c>
      <c r="F168" s="12">
        <f>IF($A168="","",IF(INDEX(ref_indicateurs!$O:$O,MATCH($A168,ref_indicateurs!$A:$A,0))="","",INDEX(ref_indicateurs!$O:$O,MATCH($A168,ref_indicateurs!$A:$A,0))))</f>
        <v/>
      </c>
      <c r="G168" s="13">
        <f>IF($A168="","",SUMIFS(saisie_hebdo!$L:$L,saisie_hebdo!$I:$I,$A168))</f>
        <v/>
      </c>
      <c r="H168" s="13">
        <f>IF($A168="","",SUMIFS(saisie_hebdo!$M:$M,saisie_hebdo!$I:$I,$A168))</f>
        <v/>
      </c>
      <c r="I168" s="14">
        <f>IF(OR($A168="",L168=0),"",IF(D168="Pourcentage",IF(H168&gt;0,G168/H168*100,""),G168))</f>
        <v/>
      </c>
      <c r="J168" s="15">
        <f>IF(OR(I168="",F168="",F168=0),"",I168/F168)</f>
        <v/>
      </c>
      <c r="K168" s="12">
        <f>IF(OR($A168="",L168=0),"",IF(_xlfn.MAXIFS(saisie_hebdo!$C:$C,saisie_hebdo!$I:$I,$A168)=0,"",_xlfn.MAXIFS(saisie_hebdo!$C:$C,saisie_hebdo!$I:$I,$A168)))</f>
        <v/>
      </c>
      <c r="L168" s="12">
        <f>IF($A168="","",COUNTIFS(saisie_hebdo!$I:$I,$A168))</f>
        <v/>
      </c>
      <c r="M168" s="12">
        <f>IF($A168="","",IF(L168=0,"Non rapporté",IF(F168="","Suivi sans cible",IF(D168="Pourcentage",IF(I168&gt;=F168,"Cible atteinte","Sous la cible"),IF(J168&gt;=1,"Cible atteinte","En cours")))))</f>
        <v/>
      </c>
    </row>
    <row r="169">
      <c r="A169" s="12">
        <f>IFERROR(INDEX(ref_indicateurs!$A:$A,166)&amp;"","")</f>
        <v/>
      </c>
      <c r="B169" s="12">
        <f>IF($A169="","",INDEX(ref_indicateurs!$B:$B,MATCH($A169,ref_indicateurs!$A:$A,0))&amp;"")</f>
        <v/>
      </c>
      <c r="C169" s="12">
        <f>IF($A169="","",INDEX(ref_indicateurs!$C:$C,MATCH($A169,ref_indicateurs!$A:$A,0))&amp;"")</f>
        <v/>
      </c>
      <c r="D169" s="12">
        <f>IF($A169="","",INDEX(ref_indicateurs!$E:$E,MATCH($A169,ref_indicateurs!$A:$A,0))&amp;"")</f>
        <v/>
      </c>
      <c r="E169" s="12">
        <f>IF($A169="","",INDEX(ref_indicateurs!$M:$M,MATCH($A169,ref_indicateurs!$A:$A,0))&amp;"")</f>
        <v/>
      </c>
      <c r="F169" s="12">
        <f>IF($A169="","",IF(INDEX(ref_indicateurs!$O:$O,MATCH($A169,ref_indicateurs!$A:$A,0))="","",INDEX(ref_indicateurs!$O:$O,MATCH($A169,ref_indicateurs!$A:$A,0))))</f>
        <v/>
      </c>
      <c r="G169" s="13">
        <f>IF($A169="","",SUMIFS(saisie_hebdo!$L:$L,saisie_hebdo!$I:$I,$A169))</f>
        <v/>
      </c>
      <c r="H169" s="13">
        <f>IF($A169="","",SUMIFS(saisie_hebdo!$M:$M,saisie_hebdo!$I:$I,$A169))</f>
        <v/>
      </c>
      <c r="I169" s="14">
        <f>IF(OR($A169="",L169=0),"",IF(D169="Pourcentage",IF(H169&gt;0,G169/H169*100,""),G169))</f>
        <v/>
      </c>
      <c r="J169" s="15">
        <f>IF(OR(I169="",F169="",F169=0),"",I169/F169)</f>
        <v/>
      </c>
      <c r="K169" s="12">
        <f>IF(OR($A169="",L169=0),"",IF(_xlfn.MAXIFS(saisie_hebdo!$C:$C,saisie_hebdo!$I:$I,$A169)=0,"",_xlfn.MAXIFS(saisie_hebdo!$C:$C,saisie_hebdo!$I:$I,$A169)))</f>
        <v/>
      </c>
      <c r="L169" s="12">
        <f>IF($A169="","",COUNTIFS(saisie_hebdo!$I:$I,$A169))</f>
        <v/>
      </c>
      <c r="M169" s="12">
        <f>IF($A169="","",IF(L169=0,"Non rapporté",IF(F169="","Suivi sans cible",IF(D169="Pourcentage",IF(I169&gt;=F169,"Cible atteinte","Sous la cible"),IF(J169&gt;=1,"Cible atteinte","En cours")))))</f>
        <v/>
      </c>
    </row>
    <row r="170">
      <c r="A170" s="12">
        <f>IFERROR(INDEX(ref_indicateurs!$A:$A,167)&amp;"","")</f>
        <v/>
      </c>
      <c r="B170" s="12">
        <f>IF($A170="","",INDEX(ref_indicateurs!$B:$B,MATCH($A170,ref_indicateurs!$A:$A,0))&amp;"")</f>
        <v/>
      </c>
      <c r="C170" s="12">
        <f>IF($A170="","",INDEX(ref_indicateurs!$C:$C,MATCH($A170,ref_indicateurs!$A:$A,0))&amp;"")</f>
        <v/>
      </c>
      <c r="D170" s="12">
        <f>IF($A170="","",INDEX(ref_indicateurs!$E:$E,MATCH($A170,ref_indicateurs!$A:$A,0))&amp;"")</f>
        <v/>
      </c>
      <c r="E170" s="12">
        <f>IF($A170="","",INDEX(ref_indicateurs!$M:$M,MATCH($A170,ref_indicateurs!$A:$A,0))&amp;"")</f>
        <v/>
      </c>
      <c r="F170" s="12">
        <f>IF($A170="","",IF(INDEX(ref_indicateurs!$O:$O,MATCH($A170,ref_indicateurs!$A:$A,0))="","",INDEX(ref_indicateurs!$O:$O,MATCH($A170,ref_indicateurs!$A:$A,0))))</f>
        <v/>
      </c>
      <c r="G170" s="13">
        <f>IF($A170="","",SUMIFS(saisie_hebdo!$L:$L,saisie_hebdo!$I:$I,$A170))</f>
        <v/>
      </c>
      <c r="H170" s="13">
        <f>IF($A170="","",SUMIFS(saisie_hebdo!$M:$M,saisie_hebdo!$I:$I,$A170))</f>
        <v/>
      </c>
      <c r="I170" s="14">
        <f>IF(OR($A170="",L170=0),"",IF(D170="Pourcentage",IF(H170&gt;0,G170/H170*100,""),G170))</f>
        <v/>
      </c>
      <c r="J170" s="15">
        <f>IF(OR(I170="",F170="",F170=0),"",I170/F170)</f>
        <v/>
      </c>
      <c r="K170" s="12">
        <f>IF(OR($A170="",L170=0),"",IF(_xlfn.MAXIFS(saisie_hebdo!$C:$C,saisie_hebdo!$I:$I,$A170)=0,"",_xlfn.MAXIFS(saisie_hebdo!$C:$C,saisie_hebdo!$I:$I,$A170)))</f>
        <v/>
      </c>
      <c r="L170" s="12">
        <f>IF($A170="","",COUNTIFS(saisie_hebdo!$I:$I,$A170))</f>
        <v/>
      </c>
      <c r="M170" s="12">
        <f>IF($A170="","",IF(L170=0,"Non rapporté",IF(F170="","Suivi sans cible",IF(D170="Pourcentage",IF(I170&gt;=F170,"Cible atteinte","Sous la cible"),IF(J170&gt;=1,"Cible atteinte","En cours")))))</f>
        <v/>
      </c>
    </row>
    <row r="171">
      <c r="A171" s="12">
        <f>IFERROR(INDEX(ref_indicateurs!$A:$A,168)&amp;"","")</f>
        <v/>
      </c>
      <c r="B171" s="12">
        <f>IF($A171="","",INDEX(ref_indicateurs!$B:$B,MATCH($A171,ref_indicateurs!$A:$A,0))&amp;"")</f>
        <v/>
      </c>
      <c r="C171" s="12">
        <f>IF($A171="","",INDEX(ref_indicateurs!$C:$C,MATCH($A171,ref_indicateurs!$A:$A,0))&amp;"")</f>
        <v/>
      </c>
      <c r="D171" s="12">
        <f>IF($A171="","",INDEX(ref_indicateurs!$E:$E,MATCH($A171,ref_indicateurs!$A:$A,0))&amp;"")</f>
        <v/>
      </c>
      <c r="E171" s="12">
        <f>IF($A171="","",INDEX(ref_indicateurs!$M:$M,MATCH($A171,ref_indicateurs!$A:$A,0))&amp;"")</f>
        <v/>
      </c>
      <c r="F171" s="12">
        <f>IF($A171="","",IF(INDEX(ref_indicateurs!$O:$O,MATCH($A171,ref_indicateurs!$A:$A,0))="","",INDEX(ref_indicateurs!$O:$O,MATCH($A171,ref_indicateurs!$A:$A,0))))</f>
        <v/>
      </c>
      <c r="G171" s="13">
        <f>IF($A171="","",SUMIFS(saisie_hebdo!$L:$L,saisie_hebdo!$I:$I,$A171))</f>
        <v/>
      </c>
      <c r="H171" s="13">
        <f>IF($A171="","",SUMIFS(saisie_hebdo!$M:$M,saisie_hebdo!$I:$I,$A171))</f>
        <v/>
      </c>
      <c r="I171" s="14">
        <f>IF(OR($A171="",L171=0),"",IF(D171="Pourcentage",IF(H171&gt;0,G171/H171*100,""),G171))</f>
        <v/>
      </c>
      <c r="J171" s="15">
        <f>IF(OR(I171="",F171="",F171=0),"",I171/F171)</f>
        <v/>
      </c>
      <c r="K171" s="12">
        <f>IF(OR($A171="",L171=0),"",IF(_xlfn.MAXIFS(saisie_hebdo!$C:$C,saisie_hebdo!$I:$I,$A171)=0,"",_xlfn.MAXIFS(saisie_hebdo!$C:$C,saisie_hebdo!$I:$I,$A171)))</f>
        <v/>
      </c>
      <c r="L171" s="12">
        <f>IF($A171="","",COUNTIFS(saisie_hebdo!$I:$I,$A171))</f>
        <v/>
      </c>
      <c r="M171" s="12">
        <f>IF($A171="","",IF(L171=0,"Non rapporté",IF(F171="","Suivi sans cible",IF(D171="Pourcentage",IF(I171&gt;=F171,"Cible atteinte","Sous la cible"),IF(J171&gt;=1,"Cible atteinte","En cours")))))</f>
        <v/>
      </c>
    </row>
    <row r="172">
      <c r="A172" s="12">
        <f>IFERROR(INDEX(ref_indicateurs!$A:$A,169)&amp;"","")</f>
        <v/>
      </c>
      <c r="B172" s="12">
        <f>IF($A172="","",INDEX(ref_indicateurs!$B:$B,MATCH($A172,ref_indicateurs!$A:$A,0))&amp;"")</f>
        <v/>
      </c>
      <c r="C172" s="12">
        <f>IF($A172="","",INDEX(ref_indicateurs!$C:$C,MATCH($A172,ref_indicateurs!$A:$A,0))&amp;"")</f>
        <v/>
      </c>
      <c r="D172" s="12">
        <f>IF($A172="","",INDEX(ref_indicateurs!$E:$E,MATCH($A172,ref_indicateurs!$A:$A,0))&amp;"")</f>
        <v/>
      </c>
      <c r="E172" s="12">
        <f>IF($A172="","",INDEX(ref_indicateurs!$M:$M,MATCH($A172,ref_indicateurs!$A:$A,0))&amp;"")</f>
        <v/>
      </c>
      <c r="F172" s="12">
        <f>IF($A172="","",IF(INDEX(ref_indicateurs!$O:$O,MATCH($A172,ref_indicateurs!$A:$A,0))="","",INDEX(ref_indicateurs!$O:$O,MATCH($A172,ref_indicateurs!$A:$A,0))))</f>
        <v/>
      </c>
      <c r="G172" s="13">
        <f>IF($A172="","",SUMIFS(saisie_hebdo!$L:$L,saisie_hebdo!$I:$I,$A172))</f>
        <v/>
      </c>
      <c r="H172" s="13">
        <f>IF($A172="","",SUMIFS(saisie_hebdo!$M:$M,saisie_hebdo!$I:$I,$A172))</f>
        <v/>
      </c>
      <c r="I172" s="14">
        <f>IF(OR($A172="",L172=0),"",IF(D172="Pourcentage",IF(H172&gt;0,G172/H172*100,""),G172))</f>
        <v/>
      </c>
      <c r="J172" s="15">
        <f>IF(OR(I172="",F172="",F172=0),"",I172/F172)</f>
        <v/>
      </c>
      <c r="K172" s="12">
        <f>IF(OR($A172="",L172=0),"",IF(_xlfn.MAXIFS(saisie_hebdo!$C:$C,saisie_hebdo!$I:$I,$A172)=0,"",_xlfn.MAXIFS(saisie_hebdo!$C:$C,saisie_hebdo!$I:$I,$A172)))</f>
        <v/>
      </c>
      <c r="L172" s="12">
        <f>IF($A172="","",COUNTIFS(saisie_hebdo!$I:$I,$A172))</f>
        <v/>
      </c>
      <c r="M172" s="12">
        <f>IF($A172="","",IF(L172=0,"Non rapporté",IF(F172="","Suivi sans cible",IF(D172="Pourcentage",IF(I172&gt;=F172,"Cible atteinte","Sous la cible"),IF(J172&gt;=1,"Cible atteinte","En cours")))))</f>
        <v/>
      </c>
    </row>
    <row r="173">
      <c r="A173" s="12">
        <f>IFERROR(INDEX(ref_indicateurs!$A:$A,170)&amp;"","")</f>
        <v/>
      </c>
      <c r="B173" s="12">
        <f>IF($A173="","",INDEX(ref_indicateurs!$B:$B,MATCH($A173,ref_indicateurs!$A:$A,0))&amp;"")</f>
        <v/>
      </c>
      <c r="C173" s="12">
        <f>IF($A173="","",INDEX(ref_indicateurs!$C:$C,MATCH($A173,ref_indicateurs!$A:$A,0))&amp;"")</f>
        <v/>
      </c>
      <c r="D173" s="12">
        <f>IF($A173="","",INDEX(ref_indicateurs!$E:$E,MATCH($A173,ref_indicateurs!$A:$A,0))&amp;"")</f>
        <v/>
      </c>
      <c r="E173" s="12">
        <f>IF($A173="","",INDEX(ref_indicateurs!$M:$M,MATCH($A173,ref_indicateurs!$A:$A,0))&amp;"")</f>
        <v/>
      </c>
      <c r="F173" s="12">
        <f>IF($A173="","",IF(INDEX(ref_indicateurs!$O:$O,MATCH($A173,ref_indicateurs!$A:$A,0))="","",INDEX(ref_indicateurs!$O:$O,MATCH($A173,ref_indicateurs!$A:$A,0))))</f>
        <v/>
      </c>
      <c r="G173" s="13">
        <f>IF($A173="","",SUMIFS(saisie_hebdo!$L:$L,saisie_hebdo!$I:$I,$A173))</f>
        <v/>
      </c>
      <c r="H173" s="13">
        <f>IF($A173="","",SUMIFS(saisie_hebdo!$M:$M,saisie_hebdo!$I:$I,$A173))</f>
        <v/>
      </c>
      <c r="I173" s="14">
        <f>IF(OR($A173="",L173=0),"",IF(D173="Pourcentage",IF(H173&gt;0,G173/H173*100,""),G173))</f>
        <v/>
      </c>
      <c r="J173" s="15">
        <f>IF(OR(I173="",F173="",F173=0),"",I173/F173)</f>
        <v/>
      </c>
      <c r="K173" s="12">
        <f>IF(OR($A173="",L173=0),"",IF(_xlfn.MAXIFS(saisie_hebdo!$C:$C,saisie_hebdo!$I:$I,$A173)=0,"",_xlfn.MAXIFS(saisie_hebdo!$C:$C,saisie_hebdo!$I:$I,$A173)))</f>
        <v/>
      </c>
      <c r="L173" s="12">
        <f>IF($A173="","",COUNTIFS(saisie_hebdo!$I:$I,$A173))</f>
        <v/>
      </c>
      <c r="M173" s="12">
        <f>IF($A173="","",IF(L173=0,"Non rapporté",IF(F173="","Suivi sans cible",IF(D173="Pourcentage",IF(I173&gt;=F173,"Cible atteinte","Sous la cible"),IF(J173&gt;=1,"Cible atteinte","En cours")))))</f>
        <v/>
      </c>
    </row>
    <row r="174">
      <c r="A174" s="12">
        <f>IFERROR(INDEX(ref_indicateurs!$A:$A,171)&amp;"","")</f>
        <v/>
      </c>
      <c r="B174" s="12">
        <f>IF($A174="","",INDEX(ref_indicateurs!$B:$B,MATCH($A174,ref_indicateurs!$A:$A,0))&amp;"")</f>
        <v/>
      </c>
      <c r="C174" s="12">
        <f>IF($A174="","",INDEX(ref_indicateurs!$C:$C,MATCH($A174,ref_indicateurs!$A:$A,0))&amp;"")</f>
        <v/>
      </c>
      <c r="D174" s="12">
        <f>IF($A174="","",INDEX(ref_indicateurs!$E:$E,MATCH($A174,ref_indicateurs!$A:$A,0))&amp;"")</f>
        <v/>
      </c>
      <c r="E174" s="12">
        <f>IF($A174="","",INDEX(ref_indicateurs!$M:$M,MATCH($A174,ref_indicateurs!$A:$A,0))&amp;"")</f>
        <v/>
      </c>
      <c r="F174" s="12">
        <f>IF($A174="","",IF(INDEX(ref_indicateurs!$O:$O,MATCH($A174,ref_indicateurs!$A:$A,0))="","",INDEX(ref_indicateurs!$O:$O,MATCH($A174,ref_indicateurs!$A:$A,0))))</f>
        <v/>
      </c>
      <c r="G174" s="13">
        <f>IF($A174="","",SUMIFS(saisie_hebdo!$L:$L,saisie_hebdo!$I:$I,$A174))</f>
        <v/>
      </c>
      <c r="H174" s="13">
        <f>IF($A174="","",SUMIFS(saisie_hebdo!$M:$M,saisie_hebdo!$I:$I,$A174))</f>
        <v/>
      </c>
      <c r="I174" s="14">
        <f>IF(OR($A174="",L174=0),"",IF(D174="Pourcentage",IF(H174&gt;0,G174/H174*100,""),G174))</f>
        <v/>
      </c>
      <c r="J174" s="15">
        <f>IF(OR(I174="",F174="",F174=0),"",I174/F174)</f>
        <v/>
      </c>
      <c r="K174" s="12">
        <f>IF(OR($A174="",L174=0),"",IF(_xlfn.MAXIFS(saisie_hebdo!$C:$C,saisie_hebdo!$I:$I,$A174)=0,"",_xlfn.MAXIFS(saisie_hebdo!$C:$C,saisie_hebdo!$I:$I,$A174)))</f>
        <v/>
      </c>
      <c r="L174" s="12">
        <f>IF($A174="","",COUNTIFS(saisie_hebdo!$I:$I,$A174))</f>
        <v/>
      </c>
      <c r="M174" s="12">
        <f>IF($A174="","",IF(L174=0,"Non rapporté",IF(F174="","Suivi sans cible",IF(D174="Pourcentage",IF(I174&gt;=F174,"Cible atteinte","Sous la cible"),IF(J174&gt;=1,"Cible atteinte","En cours")))))</f>
        <v/>
      </c>
    </row>
    <row r="175">
      <c r="A175" s="12">
        <f>IFERROR(INDEX(ref_indicateurs!$A:$A,172)&amp;"","")</f>
        <v/>
      </c>
      <c r="B175" s="12">
        <f>IF($A175="","",INDEX(ref_indicateurs!$B:$B,MATCH($A175,ref_indicateurs!$A:$A,0))&amp;"")</f>
        <v/>
      </c>
      <c r="C175" s="12">
        <f>IF($A175="","",INDEX(ref_indicateurs!$C:$C,MATCH($A175,ref_indicateurs!$A:$A,0))&amp;"")</f>
        <v/>
      </c>
      <c r="D175" s="12">
        <f>IF($A175="","",INDEX(ref_indicateurs!$E:$E,MATCH($A175,ref_indicateurs!$A:$A,0))&amp;"")</f>
        <v/>
      </c>
      <c r="E175" s="12">
        <f>IF($A175="","",INDEX(ref_indicateurs!$M:$M,MATCH($A175,ref_indicateurs!$A:$A,0))&amp;"")</f>
        <v/>
      </c>
      <c r="F175" s="12">
        <f>IF($A175="","",IF(INDEX(ref_indicateurs!$O:$O,MATCH($A175,ref_indicateurs!$A:$A,0))="","",INDEX(ref_indicateurs!$O:$O,MATCH($A175,ref_indicateurs!$A:$A,0))))</f>
        <v/>
      </c>
      <c r="G175" s="13">
        <f>IF($A175="","",SUMIFS(saisie_hebdo!$L:$L,saisie_hebdo!$I:$I,$A175))</f>
        <v/>
      </c>
      <c r="H175" s="13">
        <f>IF($A175="","",SUMIFS(saisie_hebdo!$M:$M,saisie_hebdo!$I:$I,$A175))</f>
        <v/>
      </c>
      <c r="I175" s="14">
        <f>IF(OR($A175="",L175=0),"",IF(D175="Pourcentage",IF(H175&gt;0,G175/H175*100,""),G175))</f>
        <v/>
      </c>
      <c r="J175" s="15">
        <f>IF(OR(I175="",F175="",F175=0),"",I175/F175)</f>
        <v/>
      </c>
      <c r="K175" s="12">
        <f>IF(OR($A175="",L175=0),"",IF(_xlfn.MAXIFS(saisie_hebdo!$C:$C,saisie_hebdo!$I:$I,$A175)=0,"",_xlfn.MAXIFS(saisie_hebdo!$C:$C,saisie_hebdo!$I:$I,$A175)))</f>
        <v/>
      </c>
      <c r="L175" s="12">
        <f>IF($A175="","",COUNTIFS(saisie_hebdo!$I:$I,$A175))</f>
        <v/>
      </c>
      <c r="M175" s="12">
        <f>IF($A175="","",IF(L175=0,"Non rapporté",IF(F175="","Suivi sans cible",IF(D175="Pourcentage",IF(I175&gt;=F175,"Cible atteinte","Sous la cible"),IF(J175&gt;=1,"Cible atteinte","En cours")))))</f>
        <v/>
      </c>
    </row>
    <row r="176">
      <c r="A176" s="12">
        <f>IFERROR(INDEX(ref_indicateurs!$A:$A,173)&amp;"","")</f>
        <v/>
      </c>
      <c r="B176" s="12">
        <f>IF($A176="","",INDEX(ref_indicateurs!$B:$B,MATCH($A176,ref_indicateurs!$A:$A,0))&amp;"")</f>
        <v/>
      </c>
      <c r="C176" s="12">
        <f>IF($A176="","",INDEX(ref_indicateurs!$C:$C,MATCH($A176,ref_indicateurs!$A:$A,0))&amp;"")</f>
        <v/>
      </c>
      <c r="D176" s="12">
        <f>IF($A176="","",INDEX(ref_indicateurs!$E:$E,MATCH($A176,ref_indicateurs!$A:$A,0))&amp;"")</f>
        <v/>
      </c>
      <c r="E176" s="12">
        <f>IF($A176="","",INDEX(ref_indicateurs!$M:$M,MATCH($A176,ref_indicateurs!$A:$A,0))&amp;"")</f>
        <v/>
      </c>
      <c r="F176" s="12">
        <f>IF($A176="","",IF(INDEX(ref_indicateurs!$O:$O,MATCH($A176,ref_indicateurs!$A:$A,0))="","",INDEX(ref_indicateurs!$O:$O,MATCH($A176,ref_indicateurs!$A:$A,0))))</f>
        <v/>
      </c>
      <c r="G176" s="13">
        <f>IF($A176="","",SUMIFS(saisie_hebdo!$L:$L,saisie_hebdo!$I:$I,$A176))</f>
        <v/>
      </c>
      <c r="H176" s="13">
        <f>IF($A176="","",SUMIFS(saisie_hebdo!$M:$M,saisie_hebdo!$I:$I,$A176))</f>
        <v/>
      </c>
      <c r="I176" s="14">
        <f>IF(OR($A176="",L176=0),"",IF(D176="Pourcentage",IF(H176&gt;0,G176/H176*100,""),G176))</f>
        <v/>
      </c>
      <c r="J176" s="15">
        <f>IF(OR(I176="",F176="",F176=0),"",I176/F176)</f>
        <v/>
      </c>
      <c r="K176" s="12">
        <f>IF(OR($A176="",L176=0),"",IF(_xlfn.MAXIFS(saisie_hebdo!$C:$C,saisie_hebdo!$I:$I,$A176)=0,"",_xlfn.MAXIFS(saisie_hebdo!$C:$C,saisie_hebdo!$I:$I,$A176)))</f>
        <v/>
      </c>
      <c r="L176" s="12">
        <f>IF($A176="","",COUNTIFS(saisie_hebdo!$I:$I,$A176))</f>
        <v/>
      </c>
      <c r="M176" s="12">
        <f>IF($A176="","",IF(L176=0,"Non rapporté",IF(F176="","Suivi sans cible",IF(D176="Pourcentage",IF(I176&gt;=F176,"Cible atteinte","Sous la cible"),IF(J176&gt;=1,"Cible atteinte","En cours")))))</f>
        <v/>
      </c>
    </row>
    <row r="177">
      <c r="A177" s="12">
        <f>IFERROR(INDEX(ref_indicateurs!$A:$A,174)&amp;"","")</f>
        <v/>
      </c>
      <c r="B177" s="12">
        <f>IF($A177="","",INDEX(ref_indicateurs!$B:$B,MATCH($A177,ref_indicateurs!$A:$A,0))&amp;"")</f>
        <v/>
      </c>
      <c r="C177" s="12">
        <f>IF($A177="","",INDEX(ref_indicateurs!$C:$C,MATCH($A177,ref_indicateurs!$A:$A,0))&amp;"")</f>
        <v/>
      </c>
      <c r="D177" s="12">
        <f>IF($A177="","",INDEX(ref_indicateurs!$E:$E,MATCH($A177,ref_indicateurs!$A:$A,0))&amp;"")</f>
        <v/>
      </c>
      <c r="E177" s="12">
        <f>IF($A177="","",INDEX(ref_indicateurs!$M:$M,MATCH($A177,ref_indicateurs!$A:$A,0))&amp;"")</f>
        <v/>
      </c>
      <c r="F177" s="12">
        <f>IF($A177="","",IF(INDEX(ref_indicateurs!$O:$O,MATCH($A177,ref_indicateurs!$A:$A,0))="","",INDEX(ref_indicateurs!$O:$O,MATCH($A177,ref_indicateurs!$A:$A,0))))</f>
        <v/>
      </c>
      <c r="G177" s="13">
        <f>IF($A177="","",SUMIFS(saisie_hebdo!$L:$L,saisie_hebdo!$I:$I,$A177))</f>
        <v/>
      </c>
      <c r="H177" s="13">
        <f>IF($A177="","",SUMIFS(saisie_hebdo!$M:$M,saisie_hebdo!$I:$I,$A177))</f>
        <v/>
      </c>
      <c r="I177" s="14">
        <f>IF(OR($A177="",L177=0),"",IF(D177="Pourcentage",IF(H177&gt;0,G177/H177*100,""),G177))</f>
        <v/>
      </c>
      <c r="J177" s="15">
        <f>IF(OR(I177="",F177="",F177=0),"",I177/F177)</f>
        <v/>
      </c>
      <c r="K177" s="12">
        <f>IF(OR($A177="",L177=0),"",IF(_xlfn.MAXIFS(saisie_hebdo!$C:$C,saisie_hebdo!$I:$I,$A177)=0,"",_xlfn.MAXIFS(saisie_hebdo!$C:$C,saisie_hebdo!$I:$I,$A177)))</f>
        <v/>
      </c>
      <c r="L177" s="12">
        <f>IF($A177="","",COUNTIFS(saisie_hebdo!$I:$I,$A177))</f>
        <v/>
      </c>
      <c r="M177" s="12">
        <f>IF($A177="","",IF(L177=0,"Non rapporté",IF(F177="","Suivi sans cible",IF(D177="Pourcentage",IF(I177&gt;=F177,"Cible atteinte","Sous la cible"),IF(J177&gt;=1,"Cible atteinte","En cours")))))</f>
        <v/>
      </c>
    </row>
    <row r="178">
      <c r="A178" s="12">
        <f>IFERROR(INDEX(ref_indicateurs!$A:$A,175)&amp;"","")</f>
        <v/>
      </c>
      <c r="B178" s="12">
        <f>IF($A178="","",INDEX(ref_indicateurs!$B:$B,MATCH($A178,ref_indicateurs!$A:$A,0))&amp;"")</f>
        <v/>
      </c>
      <c r="C178" s="12">
        <f>IF($A178="","",INDEX(ref_indicateurs!$C:$C,MATCH($A178,ref_indicateurs!$A:$A,0))&amp;"")</f>
        <v/>
      </c>
      <c r="D178" s="12">
        <f>IF($A178="","",INDEX(ref_indicateurs!$E:$E,MATCH($A178,ref_indicateurs!$A:$A,0))&amp;"")</f>
        <v/>
      </c>
      <c r="E178" s="12">
        <f>IF($A178="","",INDEX(ref_indicateurs!$M:$M,MATCH($A178,ref_indicateurs!$A:$A,0))&amp;"")</f>
        <v/>
      </c>
      <c r="F178" s="12">
        <f>IF($A178="","",IF(INDEX(ref_indicateurs!$O:$O,MATCH($A178,ref_indicateurs!$A:$A,0))="","",INDEX(ref_indicateurs!$O:$O,MATCH($A178,ref_indicateurs!$A:$A,0))))</f>
        <v/>
      </c>
      <c r="G178" s="13">
        <f>IF($A178="","",SUMIFS(saisie_hebdo!$L:$L,saisie_hebdo!$I:$I,$A178))</f>
        <v/>
      </c>
      <c r="H178" s="13">
        <f>IF($A178="","",SUMIFS(saisie_hebdo!$M:$M,saisie_hebdo!$I:$I,$A178))</f>
        <v/>
      </c>
      <c r="I178" s="14">
        <f>IF(OR($A178="",L178=0),"",IF(D178="Pourcentage",IF(H178&gt;0,G178/H178*100,""),G178))</f>
        <v/>
      </c>
      <c r="J178" s="15">
        <f>IF(OR(I178="",F178="",F178=0),"",I178/F178)</f>
        <v/>
      </c>
      <c r="K178" s="12">
        <f>IF(OR($A178="",L178=0),"",IF(_xlfn.MAXIFS(saisie_hebdo!$C:$C,saisie_hebdo!$I:$I,$A178)=0,"",_xlfn.MAXIFS(saisie_hebdo!$C:$C,saisie_hebdo!$I:$I,$A178)))</f>
        <v/>
      </c>
      <c r="L178" s="12">
        <f>IF($A178="","",COUNTIFS(saisie_hebdo!$I:$I,$A178))</f>
        <v/>
      </c>
      <c r="M178" s="12">
        <f>IF($A178="","",IF(L178=0,"Non rapporté",IF(F178="","Suivi sans cible",IF(D178="Pourcentage",IF(I178&gt;=F178,"Cible atteinte","Sous la cible"),IF(J178&gt;=1,"Cible atteinte","En cours")))))</f>
        <v/>
      </c>
    </row>
    <row r="179">
      <c r="A179" s="12">
        <f>IFERROR(INDEX(ref_indicateurs!$A:$A,176)&amp;"","")</f>
        <v/>
      </c>
      <c r="B179" s="12">
        <f>IF($A179="","",INDEX(ref_indicateurs!$B:$B,MATCH($A179,ref_indicateurs!$A:$A,0))&amp;"")</f>
        <v/>
      </c>
      <c r="C179" s="12">
        <f>IF($A179="","",INDEX(ref_indicateurs!$C:$C,MATCH($A179,ref_indicateurs!$A:$A,0))&amp;"")</f>
        <v/>
      </c>
      <c r="D179" s="12">
        <f>IF($A179="","",INDEX(ref_indicateurs!$E:$E,MATCH($A179,ref_indicateurs!$A:$A,0))&amp;"")</f>
        <v/>
      </c>
      <c r="E179" s="12">
        <f>IF($A179="","",INDEX(ref_indicateurs!$M:$M,MATCH($A179,ref_indicateurs!$A:$A,0))&amp;"")</f>
        <v/>
      </c>
      <c r="F179" s="12">
        <f>IF($A179="","",IF(INDEX(ref_indicateurs!$O:$O,MATCH($A179,ref_indicateurs!$A:$A,0))="","",INDEX(ref_indicateurs!$O:$O,MATCH($A179,ref_indicateurs!$A:$A,0))))</f>
        <v/>
      </c>
      <c r="G179" s="13">
        <f>IF($A179="","",SUMIFS(saisie_hebdo!$L:$L,saisie_hebdo!$I:$I,$A179))</f>
        <v/>
      </c>
      <c r="H179" s="13">
        <f>IF($A179="","",SUMIFS(saisie_hebdo!$M:$M,saisie_hebdo!$I:$I,$A179))</f>
        <v/>
      </c>
      <c r="I179" s="14">
        <f>IF(OR($A179="",L179=0),"",IF(D179="Pourcentage",IF(H179&gt;0,G179/H179*100,""),G179))</f>
        <v/>
      </c>
      <c r="J179" s="15">
        <f>IF(OR(I179="",F179="",F179=0),"",I179/F179)</f>
        <v/>
      </c>
      <c r="K179" s="12">
        <f>IF(OR($A179="",L179=0),"",IF(_xlfn.MAXIFS(saisie_hebdo!$C:$C,saisie_hebdo!$I:$I,$A179)=0,"",_xlfn.MAXIFS(saisie_hebdo!$C:$C,saisie_hebdo!$I:$I,$A179)))</f>
        <v/>
      </c>
      <c r="L179" s="12">
        <f>IF($A179="","",COUNTIFS(saisie_hebdo!$I:$I,$A179))</f>
        <v/>
      </c>
      <c r="M179" s="12">
        <f>IF($A179="","",IF(L179=0,"Non rapporté",IF(F179="","Suivi sans cible",IF(D179="Pourcentage",IF(I179&gt;=F179,"Cible atteinte","Sous la cible"),IF(J179&gt;=1,"Cible atteinte","En cours")))))</f>
        <v/>
      </c>
    </row>
    <row r="180">
      <c r="A180" s="12">
        <f>IFERROR(INDEX(ref_indicateurs!$A:$A,177)&amp;"","")</f>
        <v/>
      </c>
      <c r="B180" s="12">
        <f>IF($A180="","",INDEX(ref_indicateurs!$B:$B,MATCH($A180,ref_indicateurs!$A:$A,0))&amp;"")</f>
        <v/>
      </c>
      <c r="C180" s="12">
        <f>IF($A180="","",INDEX(ref_indicateurs!$C:$C,MATCH($A180,ref_indicateurs!$A:$A,0))&amp;"")</f>
        <v/>
      </c>
      <c r="D180" s="12">
        <f>IF($A180="","",INDEX(ref_indicateurs!$E:$E,MATCH($A180,ref_indicateurs!$A:$A,0))&amp;"")</f>
        <v/>
      </c>
      <c r="E180" s="12">
        <f>IF($A180="","",INDEX(ref_indicateurs!$M:$M,MATCH($A180,ref_indicateurs!$A:$A,0))&amp;"")</f>
        <v/>
      </c>
      <c r="F180" s="12">
        <f>IF($A180="","",IF(INDEX(ref_indicateurs!$O:$O,MATCH($A180,ref_indicateurs!$A:$A,0))="","",INDEX(ref_indicateurs!$O:$O,MATCH($A180,ref_indicateurs!$A:$A,0))))</f>
        <v/>
      </c>
      <c r="G180" s="13">
        <f>IF($A180="","",SUMIFS(saisie_hebdo!$L:$L,saisie_hebdo!$I:$I,$A180))</f>
        <v/>
      </c>
      <c r="H180" s="13">
        <f>IF($A180="","",SUMIFS(saisie_hebdo!$M:$M,saisie_hebdo!$I:$I,$A180))</f>
        <v/>
      </c>
      <c r="I180" s="14">
        <f>IF(OR($A180="",L180=0),"",IF(D180="Pourcentage",IF(H180&gt;0,G180/H180*100,""),G180))</f>
        <v/>
      </c>
      <c r="J180" s="15">
        <f>IF(OR(I180="",F180="",F180=0),"",I180/F180)</f>
        <v/>
      </c>
      <c r="K180" s="12">
        <f>IF(OR($A180="",L180=0),"",IF(_xlfn.MAXIFS(saisie_hebdo!$C:$C,saisie_hebdo!$I:$I,$A180)=0,"",_xlfn.MAXIFS(saisie_hebdo!$C:$C,saisie_hebdo!$I:$I,$A180)))</f>
        <v/>
      </c>
      <c r="L180" s="12">
        <f>IF($A180="","",COUNTIFS(saisie_hebdo!$I:$I,$A180))</f>
        <v/>
      </c>
      <c r="M180" s="12">
        <f>IF($A180="","",IF(L180=0,"Non rapporté",IF(F180="","Suivi sans cible",IF(D180="Pourcentage",IF(I180&gt;=F180,"Cible atteinte","Sous la cible"),IF(J180&gt;=1,"Cible atteinte","En cours")))))</f>
        <v/>
      </c>
    </row>
    <row r="181">
      <c r="A181" s="12">
        <f>IFERROR(INDEX(ref_indicateurs!$A:$A,178)&amp;"","")</f>
        <v/>
      </c>
      <c r="B181" s="12">
        <f>IF($A181="","",INDEX(ref_indicateurs!$B:$B,MATCH($A181,ref_indicateurs!$A:$A,0))&amp;"")</f>
        <v/>
      </c>
      <c r="C181" s="12">
        <f>IF($A181="","",INDEX(ref_indicateurs!$C:$C,MATCH($A181,ref_indicateurs!$A:$A,0))&amp;"")</f>
        <v/>
      </c>
      <c r="D181" s="12">
        <f>IF($A181="","",INDEX(ref_indicateurs!$E:$E,MATCH($A181,ref_indicateurs!$A:$A,0))&amp;"")</f>
        <v/>
      </c>
      <c r="E181" s="12">
        <f>IF($A181="","",INDEX(ref_indicateurs!$M:$M,MATCH($A181,ref_indicateurs!$A:$A,0))&amp;"")</f>
        <v/>
      </c>
      <c r="F181" s="12">
        <f>IF($A181="","",IF(INDEX(ref_indicateurs!$O:$O,MATCH($A181,ref_indicateurs!$A:$A,0))="","",INDEX(ref_indicateurs!$O:$O,MATCH($A181,ref_indicateurs!$A:$A,0))))</f>
        <v/>
      </c>
      <c r="G181" s="13">
        <f>IF($A181="","",SUMIFS(saisie_hebdo!$L:$L,saisie_hebdo!$I:$I,$A181))</f>
        <v/>
      </c>
      <c r="H181" s="13">
        <f>IF($A181="","",SUMIFS(saisie_hebdo!$M:$M,saisie_hebdo!$I:$I,$A181))</f>
        <v/>
      </c>
      <c r="I181" s="14">
        <f>IF(OR($A181="",L181=0),"",IF(D181="Pourcentage",IF(H181&gt;0,G181/H181*100,""),G181))</f>
        <v/>
      </c>
      <c r="J181" s="15">
        <f>IF(OR(I181="",F181="",F181=0),"",I181/F181)</f>
        <v/>
      </c>
      <c r="K181" s="12">
        <f>IF(OR($A181="",L181=0),"",IF(_xlfn.MAXIFS(saisie_hebdo!$C:$C,saisie_hebdo!$I:$I,$A181)=0,"",_xlfn.MAXIFS(saisie_hebdo!$C:$C,saisie_hebdo!$I:$I,$A181)))</f>
        <v/>
      </c>
      <c r="L181" s="12">
        <f>IF($A181="","",COUNTIFS(saisie_hebdo!$I:$I,$A181))</f>
        <v/>
      </c>
      <c r="M181" s="12">
        <f>IF($A181="","",IF(L181=0,"Non rapporté",IF(F181="","Suivi sans cible",IF(D181="Pourcentage",IF(I181&gt;=F181,"Cible atteinte","Sous la cible"),IF(J181&gt;=1,"Cible atteinte","En cours")))))</f>
        <v/>
      </c>
    </row>
    <row r="182">
      <c r="A182" s="12">
        <f>IFERROR(INDEX(ref_indicateurs!$A:$A,179)&amp;"","")</f>
        <v/>
      </c>
      <c r="B182" s="12">
        <f>IF($A182="","",INDEX(ref_indicateurs!$B:$B,MATCH($A182,ref_indicateurs!$A:$A,0))&amp;"")</f>
        <v/>
      </c>
      <c r="C182" s="12">
        <f>IF($A182="","",INDEX(ref_indicateurs!$C:$C,MATCH($A182,ref_indicateurs!$A:$A,0))&amp;"")</f>
        <v/>
      </c>
      <c r="D182" s="12">
        <f>IF($A182="","",INDEX(ref_indicateurs!$E:$E,MATCH($A182,ref_indicateurs!$A:$A,0))&amp;"")</f>
        <v/>
      </c>
      <c r="E182" s="12">
        <f>IF($A182="","",INDEX(ref_indicateurs!$M:$M,MATCH($A182,ref_indicateurs!$A:$A,0))&amp;"")</f>
        <v/>
      </c>
      <c r="F182" s="12">
        <f>IF($A182="","",IF(INDEX(ref_indicateurs!$O:$O,MATCH($A182,ref_indicateurs!$A:$A,0))="","",INDEX(ref_indicateurs!$O:$O,MATCH($A182,ref_indicateurs!$A:$A,0))))</f>
        <v/>
      </c>
      <c r="G182" s="13">
        <f>IF($A182="","",SUMIFS(saisie_hebdo!$L:$L,saisie_hebdo!$I:$I,$A182))</f>
        <v/>
      </c>
      <c r="H182" s="13">
        <f>IF($A182="","",SUMIFS(saisie_hebdo!$M:$M,saisie_hebdo!$I:$I,$A182))</f>
        <v/>
      </c>
      <c r="I182" s="14">
        <f>IF(OR($A182="",L182=0),"",IF(D182="Pourcentage",IF(H182&gt;0,G182/H182*100,""),G182))</f>
        <v/>
      </c>
      <c r="J182" s="15">
        <f>IF(OR(I182="",F182="",F182=0),"",I182/F182)</f>
        <v/>
      </c>
      <c r="K182" s="12">
        <f>IF(OR($A182="",L182=0),"",IF(_xlfn.MAXIFS(saisie_hebdo!$C:$C,saisie_hebdo!$I:$I,$A182)=0,"",_xlfn.MAXIFS(saisie_hebdo!$C:$C,saisie_hebdo!$I:$I,$A182)))</f>
        <v/>
      </c>
      <c r="L182" s="12">
        <f>IF($A182="","",COUNTIFS(saisie_hebdo!$I:$I,$A182))</f>
        <v/>
      </c>
      <c r="M182" s="12">
        <f>IF($A182="","",IF(L182=0,"Non rapporté",IF(F182="","Suivi sans cible",IF(D182="Pourcentage",IF(I182&gt;=F182,"Cible atteinte","Sous la cible"),IF(J182&gt;=1,"Cible atteinte","En cours")))))</f>
        <v/>
      </c>
    </row>
    <row r="183">
      <c r="A183" s="12">
        <f>IFERROR(INDEX(ref_indicateurs!$A:$A,180)&amp;"","")</f>
        <v/>
      </c>
      <c r="B183" s="12">
        <f>IF($A183="","",INDEX(ref_indicateurs!$B:$B,MATCH($A183,ref_indicateurs!$A:$A,0))&amp;"")</f>
        <v/>
      </c>
      <c r="C183" s="12">
        <f>IF($A183="","",INDEX(ref_indicateurs!$C:$C,MATCH($A183,ref_indicateurs!$A:$A,0))&amp;"")</f>
        <v/>
      </c>
      <c r="D183" s="12">
        <f>IF($A183="","",INDEX(ref_indicateurs!$E:$E,MATCH($A183,ref_indicateurs!$A:$A,0))&amp;"")</f>
        <v/>
      </c>
      <c r="E183" s="12">
        <f>IF($A183="","",INDEX(ref_indicateurs!$M:$M,MATCH($A183,ref_indicateurs!$A:$A,0))&amp;"")</f>
        <v/>
      </c>
      <c r="F183" s="12">
        <f>IF($A183="","",IF(INDEX(ref_indicateurs!$O:$O,MATCH($A183,ref_indicateurs!$A:$A,0))="","",INDEX(ref_indicateurs!$O:$O,MATCH($A183,ref_indicateurs!$A:$A,0))))</f>
        <v/>
      </c>
      <c r="G183" s="13">
        <f>IF($A183="","",SUMIFS(saisie_hebdo!$L:$L,saisie_hebdo!$I:$I,$A183))</f>
        <v/>
      </c>
      <c r="H183" s="13">
        <f>IF($A183="","",SUMIFS(saisie_hebdo!$M:$M,saisie_hebdo!$I:$I,$A183))</f>
        <v/>
      </c>
      <c r="I183" s="14">
        <f>IF(OR($A183="",L183=0),"",IF(D183="Pourcentage",IF(H183&gt;0,G183/H183*100,""),G183))</f>
        <v/>
      </c>
      <c r="J183" s="15">
        <f>IF(OR(I183="",F183="",F183=0),"",I183/F183)</f>
        <v/>
      </c>
      <c r="K183" s="12">
        <f>IF(OR($A183="",L183=0),"",IF(_xlfn.MAXIFS(saisie_hebdo!$C:$C,saisie_hebdo!$I:$I,$A183)=0,"",_xlfn.MAXIFS(saisie_hebdo!$C:$C,saisie_hebdo!$I:$I,$A183)))</f>
        <v/>
      </c>
      <c r="L183" s="12">
        <f>IF($A183="","",COUNTIFS(saisie_hebdo!$I:$I,$A183))</f>
        <v/>
      </c>
      <c r="M183" s="12">
        <f>IF($A183="","",IF(L183=0,"Non rapporté",IF(F183="","Suivi sans cible",IF(D183="Pourcentage",IF(I183&gt;=F183,"Cible atteinte","Sous la cible"),IF(J183&gt;=1,"Cible atteinte","En cours")))))</f>
        <v/>
      </c>
    </row>
    <row r="184">
      <c r="A184" s="12">
        <f>IFERROR(INDEX(ref_indicateurs!$A:$A,181)&amp;"","")</f>
        <v/>
      </c>
      <c r="B184" s="12">
        <f>IF($A184="","",INDEX(ref_indicateurs!$B:$B,MATCH($A184,ref_indicateurs!$A:$A,0))&amp;"")</f>
        <v/>
      </c>
      <c r="C184" s="12">
        <f>IF($A184="","",INDEX(ref_indicateurs!$C:$C,MATCH($A184,ref_indicateurs!$A:$A,0))&amp;"")</f>
        <v/>
      </c>
      <c r="D184" s="12">
        <f>IF($A184="","",INDEX(ref_indicateurs!$E:$E,MATCH($A184,ref_indicateurs!$A:$A,0))&amp;"")</f>
        <v/>
      </c>
      <c r="E184" s="12">
        <f>IF($A184="","",INDEX(ref_indicateurs!$M:$M,MATCH($A184,ref_indicateurs!$A:$A,0))&amp;"")</f>
        <v/>
      </c>
      <c r="F184" s="12">
        <f>IF($A184="","",IF(INDEX(ref_indicateurs!$O:$O,MATCH($A184,ref_indicateurs!$A:$A,0))="","",INDEX(ref_indicateurs!$O:$O,MATCH($A184,ref_indicateurs!$A:$A,0))))</f>
        <v/>
      </c>
      <c r="G184" s="13">
        <f>IF($A184="","",SUMIFS(saisie_hebdo!$L:$L,saisie_hebdo!$I:$I,$A184))</f>
        <v/>
      </c>
      <c r="H184" s="13">
        <f>IF($A184="","",SUMIFS(saisie_hebdo!$M:$M,saisie_hebdo!$I:$I,$A184))</f>
        <v/>
      </c>
      <c r="I184" s="14">
        <f>IF(OR($A184="",L184=0),"",IF(D184="Pourcentage",IF(H184&gt;0,G184/H184*100,""),G184))</f>
        <v/>
      </c>
      <c r="J184" s="15">
        <f>IF(OR(I184="",F184="",F184=0),"",I184/F184)</f>
        <v/>
      </c>
      <c r="K184" s="12">
        <f>IF(OR($A184="",L184=0),"",IF(_xlfn.MAXIFS(saisie_hebdo!$C:$C,saisie_hebdo!$I:$I,$A184)=0,"",_xlfn.MAXIFS(saisie_hebdo!$C:$C,saisie_hebdo!$I:$I,$A184)))</f>
        <v/>
      </c>
      <c r="L184" s="12">
        <f>IF($A184="","",COUNTIFS(saisie_hebdo!$I:$I,$A184))</f>
        <v/>
      </c>
      <c r="M184" s="12">
        <f>IF($A184="","",IF(L184=0,"Non rapporté",IF(F184="","Suivi sans cible",IF(D184="Pourcentage",IF(I184&gt;=F184,"Cible atteinte","Sous la cible"),IF(J184&gt;=1,"Cible atteinte","En cours")))))</f>
        <v/>
      </c>
    </row>
    <row r="185">
      <c r="A185" s="12">
        <f>IFERROR(INDEX(ref_indicateurs!$A:$A,182)&amp;"","")</f>
        <v/>
      </c>
      <c r="B185" s="12">
        <f>IF($A185="","",INDEX(ref_indicateurs!$B:$B,MATCH($A185,ref_indicateurs!$A:$A,0))&amp;"")</f>
        <v/>
      </c>
      <c r="C185" s="12">
        <f>IF($A185="","",INDEX(ref_indicateurs!$C:$C,MATCH($A185,ref_indicateurs!$A:$A,0))&amp;"")</f>
        <v/>
      </c>
      <c r="D185" s="12">
        <f>IF($A185="","",INDEX(ref_indicateurs!$E:$E,MATCH($A185,ref_indicateurs!$A:$A,0))&amp;"")</f>
        <v/>
      </c>
      <c r="E185" s="12">
        <f>IF($A185="","",INDEX(ref_indicateurs!$M:$M,MATCH($A185,ref_indicateurs!$A:$A,0))&amp;"")</f>
        <v/>
      </c>
      <c r="F185" s="12">
        <f>IF($A185="","",IF(INDEX(ref_indicateurs!$O:$O,MATCH($A185,ref_indicateurs!$A:$A,0))="","",INDEX(ref_indicateurs!$O:$O,MATCH($A185,ref_indicateurs!$A:$A,0))))</f>
        <v/>
      </c>
      <c r="G185" s="13">
        <f>IF($A185="","",SUMIFS(saisie_hebdo!$L:$L,saisie_hebdo!$I:$I,$A185))</f>
        <v/>
      </c>
      <c r="H185" s="13">
        <f>IF($A185="","",SUMIFS(saisie_hebdo!$M:$M,saisie_hebdo!$I:$I,$A185))</f>
        <v/>
      </c>
      <c r="I185" s="14">
        <f>IF(OR($A185="",L185=0),"",IF(D185="Pourcentage",IF(H185&gt;0,G185/H185*100,""),G185))</f>
        <v/>
      </c>
      <c r="J185" s="15">
        <f>IF(OR(I185="",F185="",F185=0),"",I185/F185)</f>
        <v/>
      </c>
      <c r="K185" s="12">
        <f>IF(OR($A185="",L185=0),"",IF(_xlfn.MAXIFS(saisie_hebdo!$C:$C,saisie_hebdo!$I:$I,$A185)=0,"",_xlfn.MAXIFS(saisie_hebdo!$C:$C,saisie_hebdo!$I:$I,$A185)))</f>
        <v/>
      </c>
      <c r="L185" s="12">
        <f>IF($A185="","",COUNTIFS(saisie_hebdo!$I:$I,$A185))</f>
        <v/>
      </c>
      <c r="M185" s="12">
        <f>IF($A185="","",IF(L185=0,"Non rapporté",IF(F185="","Suivi sans cible",IF(D185="Pourcentage",IF(I185&gt;=F185,"Cible atteinte","Sous la cible"),IF(J185&gt;=1,"Cible atteinte","En cours")))))</f>
        <v/>
      </c>
    </row>
    <row r="186">
      <c r="A186" s="12">
        <f>IFERROR(INDEX(ref_indicateurs!$A:$A,183)&amp;"","")</f>
        <v/>
      </c>
      <c r="B186" s="12">
        <f>IF($A186="","",INDEX(ref_indicateurs!$B:$B,MATCH($A186,ref_indicateurs!$A:$A,0))&amp;"")</f>
        <v/>
      </c>
      <c r="C186" s="12">
        <f>IF($A186="","",INDEX(ref_indicateurs!$C:$C,MATCH($A186,ref_indicateurs!$A:$A,0))&amp;"")</f>
        <v/>
      </c>
      <c r="D186" s="12">
        <f>IF($A186="","",INDEX(ref_indicateurs!$E:$E,MATCH($A186,ref_indicateurs!$A:$A,0))&amp;"")</f>
        <v/>
      </c>
      <c r="E186" s="12">
        <f>IF($A186="","",INDEX(ref_indicateurs!$M:$M,MATCH($A186,ref_indicateurs!$A:$A,0))&amp;"")</f>
        <v/>
      </c>
      <c r="F186" s="12">
        <f>IF($A186="","",IF(INDEX(ref_indicateurs!$O:$O,MATCH($A186,ref_indicateurs!$A:$A,0))="","",INDEX(ref_indicateurs!$O:$O,MATCH($A186,ref_indicateurs!$A:$A,0))))</f>
        <v/>
      </c>
      <c r="G186" s="13">
        <f>IF($A186="","",SUMIFS(saisie_hebdo!$L:$L,saisie_hebdo!$I:$I,$A186))</f>
        <v/>
      </c>
      <c r="H186" s="13">
        <f>IF($A186="","",SUMIFS(saisie_hebdo!$M:$M,saisie_hebdo!$I:$I,$A186))</f>
        <v/>
      </c>
      <c r="I186" s="14">
        <f>IF(OR($A186="",L186=0),"",IF(D186="Pourcentage",IF(H186&gt;0,G186/H186*100,""),G186))</f>
        <v/>
      </c>
      <c r="J186" s="15">
        <f>IF(OR(I186="",F186="",F186=0),"",I186/F186)</f>
        <v/>
      </c>
      <c r="K186" s="12">
        <f>IF(OR($A186="",L186=0),"",IF(_xlfn.MAXIFS(saisie_hebdo!$C:$C,saisie_hebdo!$I:$I,$A186)=0,"",_xlfn.MAXIFS(saisie_hebdo!$C:$C,saisie_hebdo!$I:$I,$A186)))</f>
        <v/>
      </c>
      <c r="L186" s="12">
        <f>IF($A186="","",COUNTIFS(saisie_hebdo!$I:$I,$A186))</f>
        <v/>
      </c>
      <c r="M186" s="12">
        <f>IF($A186="","",IF(L186=0,"Non rapporté",IF(F186="","Suivi sans cible",IF(D186="Pourcentage",IF(I186&gt;=F186,"Cible atteinte","Sous la cible"),IF(J186&gt;=1,"Cible atteinte","En cours")))))</f>
        <v/>
      </c>
    </row>
    <row r="187">
      <c r="A187" s="12">
        <f>IFERROR(INDEX(ref_indicateurs!$A:$A,184)&amp;"","")</f>
        <v/>
      </c>
      <c r="B187" s="12">
        <f>IF($A187="","",INDEX(ref_indicateurs!$B:$B,MATCH($A187,ref_indicateurs!$A:$A,0))&amp;"")</f>
        <v/>
      </c>
      <c r="C187" s="12">
        <f>IF($A187="","",INDEX(ref_indicateurs!$C:$C,MATCH($A187,ref_indicateurs!$A:$A,0))&amp;"")</f>
        <v/>
      </c>
      <c r="D187" s="12">
        <f>IF($A187="","",INDEX(ref_indicateurs!$E:$E,MATCH($A187,ref_indicateurs!$A:$A,0))&amp;"")</f>
        <v/>
      </c>
      <c r="E187" s="12">
        <f>IF($A187="","",INDEX(ref_indicateurs!$M:$M,MATCH($A187,ref_indicateurs!$A:$A,0))&amp;"")</f>
        <v/>
      </c>
      <c r="F187" s="12">
        <f>IF($A187="","",IF(INDEX(ref_indicateurs!$O:$O,MATCH($A187,ref_indicateurs!$A:$A,0))="","",INDEX(ref_indicateurs!$O:$O,MATCH($A187,ref_indicateurs!$A:$A,0))))</f>
        <v/>
      </c>
      <c r="G187" s="13">
        <f>IF($A187="","",SUMIFS(saisie_hebdo!$L:$L,saisie_hebdo!$I:$I,$A187))</f>
        <v/>
      </c>
      <c r="H187" s="13">
        <f>IF($A187="","",SUMIFS(saisie_hebdo!$M:$M,saisie_hebdo!$I:$I,$A187))</f>
        <v/>
      </c>
      <c r="I187" s="14">
        <f>IF(OR($A187="",L187=0),"",IF(D187="Pourcentage",IF(H187&gt;0,G187/H187*100,""),G187))</f>
        <v/>
      </c>
      <c r="J187" s="15">
        <f>IF(OR(I187="",F187="",F187=0),"",I187/F187)</f>
        <v/>
      </c>
      <c r="K187" s="12">
        <f>IF(OR($A187="",L187=0),"",IF(_xlfn.MAXIFS(saisie_hebdo!$C:$C,saisie_hebdo!$I:$I,$A187)=0,"",_xlfn.MAXIFS(saisie_hebdo!$C:$C,saisie_hebdo!$I:$I,$A187)))</f>
        <v/>
      </c>
      <c r="L187" s="12">
        <f>IF($A187="","",COUNTIFS(saisie_hebdo!$I:$I,$A187))</f>
        <v/>
      </c>
      <c r="M187" s="12">
        <f>IF($A187="","",IF(L187=0,"Non rapporté",IF(F187="","Suivi sans cible",IF(D187="Pourcentage",IF(I187&gt;=F187,"Cible atteinte","Sous la cible"),IF(J187&gt;=1,"Cible atteinte","En cours")))))</f>
        <v/>
      </c>
    </row>
    <row r="188">
      <c r="A188" s="12">
        <f>IFERROR(INDEX(ref_indicateurs!$A:$A,185)&amp;"","")</f>
        <v/>
      </c>
      <c r="B188" s="12">
        <f>IF($A188="","",INDEX(ref_indicateurs!$B:$B,MATCH($A188,ref_indicateurs!$A:$A,0))&amp;"")</f>
        <v/>
      </c>
      <c r="C188" s="12">
        <f>IF($A188="","",INDEX(ref_indicateurs!$C:$C,MATCH($A188,ref_indicateurs!$A:$A,0))&amp;"")</f>
        <v/>
      </c>
      <c r="D188" s="12">
        <f>IF($A188="","",INDEX(ref_indicateurs!$E:$E,MATCH($A188,ref_indicateurs!$A:$A,0))&amp;"")</f>
        <v/>
      </c>
      <c r="E188" s="12">
        <f>IF($A188="","",INDEX(ref_indicateurs!$M:$M,MATCH($A188,ref_indicateurs!$A:$A,0))&amp;"")</f>
        <v/>
      </c>
      <c r="F188" s="12">
        <f>IF($A188="","",IF(INDEX(ref_indicateurs!$O:$O,MATCH($A188,ref_indicateurs!$A:$A,0))="","",INDEX(ref_indicateurs!$O:$O,MATCH($A188,ref_indicateurs!$A:$A,0))))</f>
        <v/>
      </c>
      <c r="G188" s="13">
        <f>IF($A188="","",SUMIFS(saisie_hebdo!$L:$L,saisie_hebdo!$I:$I,$A188))</f>
        <v/>
      </c>
      <c r="H188" s="13">
        <f>IF($A188="","",SUMIFS(saisie_hebdo!$M:$M,saisie_hebdo!$I:$I,$A188))</f>
        <v/>
      </c>
      <c r="I188" s="14">
        <f>IF(OR($A188="",L188=0),"",IF(D188="Pourcentage",IF(H188&gt;0,G188/H188*100,""),G188))</f>
        <v/>
      </c>
      <c r="J188" s="15">
        <f>IF(OR(I188="",F188="",F188=0),"",I188/F188)</f>
        <v/>
      </c>
      <c r="K188" s="12">
        <f>IF(OR($A188="",L188=0),"",IF(_xlfn.MAXIFS(saisie_hebdo!$C:$C,saisie_hebdo!$I:$I,$A188)=0,"",_xlfn.MAXIFS(saisie_hebdo!$C:$C,saisie_hebdo!$I:$I,$A188)))</f>
        <v/>
      </c>
      <c r="L188" s="12">
        <f>IF($A188="","",COUNTIFS(saisie_hebdo!$I:$I,$A188))</f>
        <v/>
      </c>
      <c r="M188" s="12">
        <f>IF($A188="","",IF(L188=0,"Non rapporté",IF(F188="","Suivi sans cible",IF(D188="Pourcentage",IF(I188&gt;=F188,"Cible atteinte","Sous la cible"),IF(J188&gt;=1,"Cible atteinte","En cours")))))</f>
        <v/>
      </c>
    </row>
    <row r="189">
      <c r="A189" s="12">
        <f>IFERROR(INDEX(ref_indicateurs!$A:$A,186)&amp;"","")</f>
        <v/>
      </c>
      <c r="B189" s="12">
        <f>IF($A189="","",INDEX(ref_indicateurs!$B:$B,MATCH($A189,ref_indicateurs!$A:$A,0))&amp;"")</f>
        <v/>
      </c>
      <c r="C189" s="12">
        <f>IF($A189="","",INDEX(ref_indicateurs!$C:$C,MATCH($A189,ref_indicateurs!$A:$A,0))&amp;"")</f>
        <v/>
      </c>
      <c r="D189" s="12">
        <f>IF($A189="","",INDEX(ref_indicateurs!$E:$E,MATCH($A189,ref_indicateurs!$A:$A,0))&amp;"")</f>
        <v/>
      </c>
      <c r="E189" s="12">
        <f>IF($A189="","",INDEX(ref_indicateurs!$M:$M,MATCH($A189,ref_indicateurs!$A:$A,0))&amp;"")</f>
        <v/>
      </c>
      <c r="F189" s="12">
        <f>IF($A189="","",IF(INDEX(ref_indicateurs!$O:$O,MATCH($A189,ref_indicateurs!$A:$A,0))="","",INDEX(ref_indicateurs!$O:$O,MATCH($A189,ref_indicateurs!$A:$A,0))))</f>
        <v/>
      </c>
      <c r="G189" s="13">
        <f>IF($A189="","",SUMIFS(saisie_hebdo!$L:$L,saisie_hebdo!$I:$I,$A189))</f>
        <v/>
      </c>
      <c r="H189" s="13">
        <f>IF($A189="","",SUMIFS(saisie_hebdo!$M:$M,saisie_hebdo!$I:$I,$A189))</f>
        <v/>
      </c>
      <c r="I189" s="14">
        <f>IF(OR($A189="",L189=0),"",IF(D189="Pourcentage",IF(H189&gt;0,G189/H189*100,""),G189))</f>
        <v/>
      </c>
      <c r="J189" s="15">
        <f>IF(OR(I189="",F189="",F189=0),"",I189/F189)</f>
        <v/>
      </c>
      <c r="K189" s="12">
        <f>IF(OR($A189="",L189=0),"",IF(_xlfn.MAXIFS(saisie_hebdo!$C:$C,saisie_hebdo!$I:$I,$A189)=0,"",_xlfn.MAXIFS(saisie_hebdo!$C:$C,saisie_hebdo!$I:$I,$A189)))</f>
        <v/>
      </c>
      <c r="L189" s="12">
        <f>IF($A189="","",COUNTIFS(saisie_hebdo!$I:$I,$A189))</f>
        <v/>
      </c>
      <c r="M189" s="12">
        <f>IF($A189="","",IF(L189=0,"Non rapporté",IF(F189="","Suivi sans cible",IF(D189="Pourcentage",IF(I189&gt;=F189,"Cible atteinte","Sous la cible"),IF(J189&gt;=1,"Cible atteinte","En cours")))))</f>
        <v/>
      </c>
    </row>
    <row r="190">
      <c r="A190" s="12">
        <f>IFERROR(INDEX(ref_indicateurs!$A:$A,187)&amp;"","")</f>
        <v/>
      </c>
      <c r="B190" s="12">
        <f>IF($A190="","",INDEX(ref_indicateurs!$B:$B,MATCH($A190,ref_indicateurs!$A:$A,0))&amp;"")</f>
        <v/>
      </c>
      <c r="C190" s="12">
        <f>IF($A190="","",INDEX(ref_indicateurs!$C:$C,MATCH($A190,ref_indicateurs!$A:$A,0))&amp;"")</f>
        <v/>
      </c>
      <c r="D190" s="12">
        <f>IF($A190="","",INDEX(ref_indicateurs!$E:$E,MATCH($A190,ref_indicateurs!$A:$A,0))&amp;"")</f>
        <v/>
      </c>
      <c r="E190" s="12">
        <f>IF($A190="","",INDEX(ref_indicateurs!$M:$M,MATCH($A190,ref_indicateurs!$A:$A,0))&amp;"")</f>
        <v/>
      </c>
      <c r="F190" s="12">
        <f>IF($A190="","",IF(INDEX(ref_indicateurs!$O:$O,MATCH($A190,ref_indicateurs!$A:$A,0))="","",INDEX(ref_indicateurs!$O:$O,MATCH($A190,ref_indicateurs!$A:$A,0))))</f>
        <v/>
      </c>
      <c r="G190" s="13">
        <f>IF($A190="","",SUMIFS(saisie_hebdo!$L:$L,saisie_hebdo!$I:$I,$A190))</f>
        <v/>
      </c>
      <c r="H190" s="13">
        <f>IF($A190="","",SUMIFS(saisie_hebdo!$M:$M,saisie_hebdo!$I:$I,$A190))</f>
        <v/>
      </c>
      <c r="I190" s="14">
        <f>IF(OR($A190="",L190=0),"",IF(D190="Pourcentage",IF(H190&gt;0,G190/H190*100,""),G190))</f>
        <v/>
      </c>
      <c r="J190" s="15">
        <f>IF(OR(I190="",F190="",F190=0),"",I190/F190)</f>
        <v/>
      </c>
      <c r="K190" s="12">
        <f>IF(OR($A190="",L190=0),"",IF(_xlfn.MAXIFS(saisie_hebdo!$C:$C,saisie_hebdo!$I:$I,$A190)=0,"",_xlfn.MAXIFS(saisie_hebdo!$C:$C,saisie_hebdo!$I:$I,$A190)))</f>
        <v/>
      </c>
      <c r="L190" s="12">
        <f>IF($A190="","",COUNTIFS(saisie_hebdo!$I:$I,$A190))</f>
        <v/>
      </c>
      <c r="M190" s="12">
        <f>IF($A190="","",IF(L190=0,"Non rapporté",IF(F190="","Suivi sans cible",IF(D190="Pourcentage",IF(I190&gt;=F190,"Cible atteinte","Sous la cible"),IF(J190&gt;=1,"Cible atteinte","En cours")))))</f>
        <v/>
      </c>
    </row>
    <row r="191">
      <c r="A191" s="12">
        <f>IFERROR(INDEX(ref_indicateurs!$A:$A,188)&amp;"","")</f>
        <v/>
      </c>
      <c r="B191" s="12">
        <f>IF($A191="","",INDEX(ref_indicateurs!$B:$B,MATCH($A191,ref_indicateurs!$A:$A,0))&amp;"")</f>
        <v/>
      </c>
      <c r="C191" s="12">
        <f>IF($A191="","",INDEX(ref_indicateurs!$C:$C,MATCH($A191,ref_indicateurs!$A:$A,0))&amp;"")</f>
        <v/>
      </c>
      <c r="D191" s="12">
        <f>IF($A191="","",INDEX(ref_indicateurs!$E:$E,MATCH($A191,ref_indicateurs!$A:$A,0))&amp;"")</f>
        <v/>
      </c>
      <c r="E191" s="12">
        <f>IF($A191="","",INDEX(ref_indicateurs!$M:$M,MATCH($A191,ref_indicateurs!$A:$A,0))&amp;"")</f>
        <v/>
      </c>
      <c r="F191" s="12">
        <f>IF($A191="","",IF(INDEX(ref_indicateurs!$O:$O,MATCH($A191,ref_indicateurs!$A:$A,0))="","",INDEX(ref_indicateurs!$O:$O,MATCH($A191,ref_indicateurs!$A:$A,0))))</f>
        <v/>
      </c>
      <c r="G191" s="13">
        <f>IF($A191="","",SUMIFS(saisie_hebdo!$L:$L,saisie_hebdo!$I:$I,$A191))</f>
        <v/>
      </c>
      <c r="H191" s="13">
        <f>IF($A191="","",SUMIFS(saisie_hebdo!$M:$M,saisie_hebdo!$I:$I,$A191))</f>
        <v/>
      </c>
      <c r="I191" s="14">
        <f>IF(OR($A191="",L191=0),"",IF(D191="Pourcentage",IF(H191&gt;0,G191/H191*100,""),G191))</f>
        <v/>
      </c>
      <c r="J191" s="15">
        <f>IF(OR(I191="",F191="",F191=0),"",I191/F191)</f>
        <v/>
      </c>
      <c r="K191" s="12">
        <f>IF(OR($A191="",L191=0),"",IF(_xlfn.MAXIFS(saisie_hebdo!$C:$C,saisie_hebdo!$I:$I,$A191)=0,"",_xlfn.MAXIFS(saisie_hebdo!$C:$C,saisie_hebdo!$I:$I,$A191)))</f>
        <v/>
      </c>
      <c r="L191" s="12">
        <f>IF($A191="","",COUNTIFS(saisie_hebdo!$I:$I,$A191))</f>
        <v/>
      </c>
      <c r="M191" s="12">
        <f>IF($A191="","",IF(L191=0,"Non rapporté",IF(F191="","Suivi sans cible",IF(D191="Pourcentage",IF(I191&gt;=F191,"Cible atteinte","Sous la cible"),IF(J191&gt;=1,"Cible atteinte","En cours")))))</f>
        <v/>
      </c>
    </row>
    <row r="192">
      <c r="A192" s="12">
        <f>IFERROR(INDEX(ref_indicateurs!$A:$A,189)&amp;"","")</f>
        <v/>
      </c>
      <c r="B192" s="12">
        <f>IF($A192="","",INDEX(ref_indicateurs!$B:$B,MATCH($A192,ref_indicateurs!$A:$A,0))&amp;"")</f>
        <v/>
      </c>
      <c r="C192" s="12">
        <f>IF($A192="","",INDEX(ref_indicateurs!$C:$C,MATCH($A192,ref_indicateurs!$A:$A,0))&amp;"")</f>
        <v/>
      </c>
      <c r="D192" s="12">
        <f>IF($A192="","",INDEX(ref_indicateurs!$E:$E,MATCH($A192,ref_indicateurs!$A:$A,0))&amp;"")</f>
        <v/>
      </c>
      <c r="E192" s="12">
        <f>IF($A192="","",INDEX(ref_indicateurs!$M:$M,MATCH($A192,ref_indicateurs!$A:$A,0))&amp;"")</f>
        <v/>
      </c>
      <c r="F192" s="12">
        <f>IF($A192="","",IF(INDEX(ref_indicateurs!$O:$O,MATCH($A192,ref_indicateurs!$A:$A,0))="","",INDEX(ref_indicateurs!$O:$O,MATCH($A192,ref_indicateurs!$A:$A,0))))</f>
        <v/>
      </c>
      <c r="G192" s="13">
        <f>IF($A192="","",SUMIFS(saisie_hebdo!$L:$L,saisie_hebdo!$I:$I,$A192))</f>
        <v/>
      </c>
      <c r="H192" s="13">
        <f>IF($A192="","",SUMIFS(saisie_hebdo!$M:$M,saisie_hebdo!$I:$I,$A192))</f>
        <v/>
      </c>
      <c r="I192" s="14">
        <f>IF(OR($A192="",L192=0),"",IF(D192="Pourcentage",IF(H192&gt;0,G192/H192*100,""),G192))</f>
        <v/>
      </c>
      <c r="J192" s="15">
        <f>IF(OR(I192="",F192="",F192=0),"",I192/F192)</f>
        <v/>
      </c>
      <c r="K192" s="12">
        <f>IF(OR($A192="",L192=0),"",IF(_xlfn.MAXIFS(saisie_hebdo!$C:$C,saisie_hebdo!$I:$I,$A192)=0,"",_xlfn.MAXIFS(saisie_hebdo!$C:$C,saisie_hebdo!$I:$I,$A192)))</f>
        <v/>
      </c>
      <c r="L192" s="12">
        <f>IF($A192="","",COUNTIFS(saisie_hebdo!$I:$I,$A192))</f>
        <v/>
      </c>
      <c r="M192" s="12">
        <f>IF($A192="","",IF(L192=0,"Non rapporté",IF(F192="","Suivi sans cible",IF(D192="Pourcentage",IF(I192&gt;=F192,"Cible atteinte","Sous la cible"),IF(J192&gt;=1,"Cible atteinte","En cours")))))</f>
        <v/>
      </c>
    </row>
    <row r="193">
      <c r="A193" s="12">
        <f>IFERROR(INDEX(ref_indicateurs!$A:$A,190)&amp;"","")</f>
        <v/>
      </c>
      <c r="B193" s="12">
        <f>IF($A193="","",INDEX(ref_indicateurs!$B:$B,MATCH($A193,ref_indicateurs!$A:$A,0))&amp;"")</f>
        <v/>
      </c>
      <c r="C193" s="12">
        <f>IF($A193="","",INDEX(ref_indicateurs!$C:$C,MATCH($A193,ref_indicateurs!$A:$A,0))&amp;"")</f>
        <v/>
      </c>
      <c r="D193" s="12">
        <f>IF($A193="","",INDEX(ref_indicateurs!$E:$E,MATCH($A193,ref_indicateurs!$A:$A,0))&amp;"")</f>
        <v/>
      </c>
      <c r="E193" s="12">
        <f>IF($A193="","",INDEX(ref_indicateurs!$M:$M,MATCH($A193,ref_indicateurs!$A:$A,0))&amp;"")</f>
        <v/>
      </c>
      <c r="F193" s="12">
        <f>IF($A193="","",IF(INDEX(ref_indicateurs!$O:$O,MATCH($A193,ref_indicateurs!$A:$A,0))="","",INDEX(ref_indicateurs!$O:$O,MATCH($A193,ref_indicateurs!$A:$A,0))))</f>
        <v/>
      </c>
      <c r="G193" s="13">
        <f>IF($A193="","",SUMIFS(saisie_hebdo!$L:$L,saisie_hebdo!$I:$I,$A193))</f>
        <v/>
      </c>
      <c r="H193" s="13">
        <f>IF($A193="","",SUMIFS(saisie_hebdo!$M:$M,saisie_hebdo!$I:$I,$A193))</f>
        <v/>
      </c>
      <c r="I193" s="14">
        <f>IF(OR($A193="",L193=0),"",IF(D193="Pourcentage",IF(H193&gt;0,G193/H193*100,""),G193))</f>
        <v/>
      </c>
      <c r="J193" s="15">
        <f>IF(OR(I193="",F193="",F193=0),"",I193/F193)</f>
        <v/>
      </c>
      <c r="K193" s="12">
        <f>IF(OR($A193="",L193=0),"",IF(_xlfn.MAXIFS(saisie_hebdo!$C:$C,saisie_hebdo!$I:$I,$A193)=0,"",_xlfn.MAXIFS(saisie_hebdo!$C:$C,saisie_hebdo!$I:$I,$A193)))</f>
        <v/>
      </c>
      <c r="L193" s="12">
        <f>IF($A193="","",COUNTIFS(saisie_hebdo!$I:$I,$A193))</f>
        <v/>
      </c>
      <c r="M193" s="12">
        <f>IF($A193="","",IF(L193=0,"Non rapporté",IF(F193="","Suivi sans cible",IF(D193="Pourcentage",IF(I193&gt;=F193,"Cible atteinte","Sous la cible"),IF(J193&gt;=1,"Cible atteinte","En cours")))))</f>
        <v/>
      </c>
    </row>
    <row r="194">
      <c r="A194" s="12">
        <f>IFERROR(INDEX(ref_indicateurs!$A:$A,191)&amp;"","")</f>
        <v/>
      </c>
      <c r="B194" s="12">
        <f>IF($A194="","",INDEX(ref_indicateurs!$B:$B,MATCH($A194,ref_indicateurs!$A:$A,0))&amp;"")</f>
        <v/>
      </c>
      <c r="C194" s="12">
        <f>IF($A194="","",INDEX(ref_indicateurs!$C:$C,MATCH($A194,ref_indicateurs!$A:$A,0))&amp;"")</f>
        <v/>
      </c>
      <c r="D194" s="12">
        <f>IF($A194="","",INDEX(ref_indicateurs!$E:$E,MATCH($A194,ref_indicateurs!$A:$A,0))&amp;"")</f>
        <v/>
      </c>
      <c r="E194" s="12">
        <f>IF($A194="","",INDEX(ref_indicateurs!$M:$M,MATCH($A194,ref_indicateurs!$A:$A,0))&amp;"")</f>
        <v/>
      </c>
      <c r="F194" s="12">
        <f>IF($A194="","",IF(INDEX(ref_indicateurs!$O:$O,MATCH($A194,ref_indicateurs!$A:$A,0))="","",INDEX(ref_indicateurs!$O:$O,MATCH($A194,ref_indicateurs!$A:$A,0))))</f>
        <v/>
      </c>
      <c r="G194" s="13">
        <f>IF($A194="","",SUMIFS(saisie_hebdo!$L:$L,saisie_hebdo!$I:$I,$A194))</f>
        <v/>
      </c>
      <c r="H194" s="13">
        <f>IF($A194="","",SUMIFS(saisie_hebdo!$M:$M,saisie_hebdo!$I:$I,$A194))</f>
        <v/>
      </c>
      <c r="I194" s="14">
        <f>IF(OR($A194="",L194=0),"",IF(D194="Pourcentage",IF(H194&gt;0,G194/H194*100,""),G194))</f>
        <v/>
      </c>
      <c r="J194" s="15">
        <f>IF(OR(I194="",F194="",F194=0),"",I194/F194)</f>
        <v/>
      </c>
      <c r="K194" s="12">
        <f>IF(OR($A194="",L194=0),"",IF(_xlfn.MAXIFS(saisie_hebdo!$C:$C,saisie_hebdo!$I:$I,$A194)=0,"",_xlfn.MAXIFS(saisie_hebdo!$C:$C,saisie_hebdo!$I:$I,$A194)))</f>
        <v/>
      </c>
      <c r="L194" s="12">
        <f>IF($A194="","",COUNTIFS(saisie_hebdo!$I:$I,$A194))</f>
        <v/>
      </c>
      <c r="M194" s="12">
        <f>IF($A194="","",IF(L194=0,"Non rapporté",IF(F194="","Suivi sans cible",IF(D194="Pourcentage",IF(I194&gt;=F194,"Cible atteinte","Sous la cible"),IF(J194&gt;=1,"Cible atteinte","En cours")))))</f>
        <v/>
      </c>
    </row>
    <row r="195">
      <c r="A195" s="12">
        <f>IFERROR(INDEX(ref_indicateurs!$A:$A,192)&amp;"","")</f>
        <v/>
      </c>
      <c r="B195" s="12">
        <f>IF($A195="","",INDEX(ref_indicateurs!$B:$B,MATCH($A195,ref_indicateurs!$A:$A,0))&amp;"")</f>
        <v/>
      </c>
      <c r="C195" s="12">
        <f>IF($A195="","",INDEX(ref_indicateurs!$C:$C,MATCH($A195,ref_indicateurs!$A:$A,0))&amp;"")</f>
        <v/>
      </c>
      <c r="D195" s="12">
        <f>IF($A195="","",INDEX(ref_indicateurs!$E:$E,MATCH($A195,ref_indicateurs!$A:$A,0))&amp;"")</f>
        <v/>
      </c>
      <c r="E195" s="12">
        <f>IF($A195="","",INDEX(ref_indicateurs!$M:$M,MATCH($A195,ref_indicateurs!$A:$A,0))&amp;"")</f>
        <v/>
      </c>
      <c r="F195" s="12">
        <f>IF($A195="","",IF(INDEX(ref_indicateurs!$O:$O,MATCH($A195,ref_indicateurs!$A:$A,0))="","",INDEX(ref_indicateurs!$O:$O,MATCH($A195,ref_indicateurs!$A:$A,0))))</f>
        <v/>
      </c>
      <c r="G195" s="13">
        <f>IF($A195="","",SUMIFS(saisie_hebdo!$L:$L,saisie_hebdo!$I:$I,$A195))</f>
        <v/>
      </c>
      <c r="H195" s="13">
        <f>IF($A195="","",SUMIFS(saisie_hebdo!$M:$M,saisie_hebdo!$I:$I,$A195))</f>
        <v/>
      </c>
      <c r="I195" s="14">
        <f>IF(OR($A195="",L195=0),"",IF(D195="Pourcentage",IF(H195&gt;0,G195/H195*100,""),G195))</f>
        <v/>
      </c>
      <c r="J195" s="15">
        <f>IF(OR(I195="",F195="",F195=0),"",I195/F195)</f>
        <v/>
      </c>
      <c r="K195" s="12">
        <f>IF(OR($A195="",L195=0),"",IF(_xlfn.MAXIFS(saisie_hebdo!$C:$C,saisie_hebdo!$I:$I,$A195)=0,"",_xlfn.MAXIFS(saisie_hebdo!$C:$C,saisie_hebdo!$I:$I,$A195)))</f>
        <v/>
      </c>
      <c r="L195" s="12">
        <f>IF($A195="","",COUNTIFS(saisie_hebdo!$I:$I,$A195))</f>
        <v/>
      </c>
      <c r="M195" s="12">
        <f>IF($A195="","",IF(L195=0,"Non rapporté",IF(F195="","Suivi sans cible",IF(D195="Pourcentage",IF(I195&gt;=F195,"Cible atteinte","Sous la cible"),IF(J195&gt;=1,"Cible atteinte","En cours")))))</f>
        <v/>
      </c>
    </row>
    <row r="196">
      <c r="A196" s="12">
        <f>IFERROR(INDEX(ref_indicateurs!$A:$A,193)&amp;"","")</f>
        <v/>
      </c>
      <c r="B196" s="12">
        <f>IF($A196="","",INDEX(ref_indicateurs!$B:$B,MATCH($A196,ref_indicateurs!$A:$A,0))&amp;"")</f>
        <v/>
      </c>
      <c r="C196" s="12">
        <f>IF($A196="","",INDEX(ref_indicateurs!$C:$C,MATCH($A196,ref_indicateurs!$A:$A,0))&amp;"")</f>
        <v/>
      </c>
      <c r="D196" s="12">
        <f>IF($A196="","",INDEX(ref_indicateurs!$E:$E,MATCH($A196,ref_indicateurs!$A:$A,0))&amp;"")</f>
        <v/>
      </c>
      <c r="E196" s="12">
        <f>IF($A196="","",INDEX(ref_indicateurs!$M:$M,MATCH($A196,ref_indicateurs!$A:$A,0))&amp;"")</f>
        <v/>
      </c>
      <c r="F196" s="12">
        <f>IF($A196="","",IF(INDEX(ref_indicateurs!$O:$O,MATCH($A196,ref_indicateurs!$A:$A,0))="","",INDEX(ref_indicateurs!$O:$O,MATCH($A196,ref_indicateurs!$A:$A,0))))</f>
        <v/>
      </c>
      <c r="G196" s="13">
        <f>IF($A196="","",SUMIFS(saisie_hebdo!$L:$L,saisie_hebdo!$I:$I,$A196))</f>
        <v/>
      </c>
      <c r="H196" s="13">
        <f>IF($A196="","",SUMIFS(saisie_hebdo!$M:$M,saisie_hebdo!$I:$I,$A196))</f>
        <v/>
      </c>
      <c r="I196" s="14">
        <f>IF(OR($A196="",L196=0),"",IF(D196="Pourcentage",IF(H196&gt;0,G196/H196*100,""),G196))</f>
        <v/>
      </c>
      <c r="J196" s="15">
        <f>IF(OR(I196="",F196="",F196=0),"",I196/F196)</f>
        <v/>
      </c>
      <c r="K196" s="12">
        <f>IF(OR($A196="",L196=0),"",IF(_xlfn.MAXIFS(saisie_hebdo!$C:$C,saisie_hebdo!$I:$I,$A196)=0,"",_xlfn.MAXIFS(saisie_hebdo!$C:$C,saisie_hebdo!$I:$I,$A196)))</f>
        <v/>
      </c>
      <c r="L196" s="12">
        <f>IF($A196="","",COUNTIFS(saisie_hebdo!$I:$I,$A196))</f>
        <v/>
      </c>
      <c r="M196" s="12">
        <f>IF($A196="","",IF(L196=0,"Non rapporté",IF(F196="","Suivi sans cible",IF(D196="Pourcentage",IF(I196&gt;=F196,"Cible atteinte","Sous la cible"),IF(J196&gt;=1,"Cible atteinte","En cours")))))</f>
        <v/>
      </c>
    </row>
    <row r="197">
      <c r="A197" s="12">
        <f>IFERROR(INDEX(ref_indicateurs!$A:$A,194)&amp;"","")</f>
        <v/>
      </c>
      <c r="B197" s="12">
        <f>IF($A197="","",INDEX(ref_indicateurs!$B:$B,MATCH($A197,ref_indicateurs!$A:$A,0))&amp;"")</f>
        <v/>
      </c>
      <c r="C197" s="12">
        <f>IF($A197="","",INDEX(ref_indicateurs!$C:$C,MATCH($A197,ref_indicateurs!$A:$A,0))&amp;"")</f>
        <v/>
      </c>
      <c r="D197" s="12">
        <f>IF($A197="","",INDEX(ref_indicateurs!$E:$E,MATCH($A197,ref_indicateurs!$A:$A,0))&amp;"")</f>
        <v/>
      </c>
      <c r="E197" s="12">
        <f>IF($A197="","",INDEX(ref_indicateurs!$M:$M,MATCH($A197,ref_indicateurs!$A:$A,0))&amp;"")</f>
        <v/>
      </c>
      <c r="F197" s="12">
        <f>IF($A197="","",IF(INDEX(ref_indicateurs!$O:$O,MATCH($A197,ref_indicateurs!$A:$A,0))="","",INDEX(ref_indicateurs!$O:$O,MATCH($A197,ref_indicateurs!$A:$A,0))))</f>
        <v/>
      </c>
      <c r="G197" s="13">
        <f>IF($A197="","",SUMIFS(saisie_hebdo!$L:$L,saisie_hebdo!$I:$I,$A197))</f>
        <v/>
      </c>
      <c r="H197" s="13">
        <f>IF($A197="","",SUMIFS(saisie_hebdo!$M:$M,saisie_hebdo!$I:$I,$A197))</f>
        <v/>
      </c>
      <c r="I197" s="14">
        <f>IF(OR($A197="",L197=0),"",IF(D197="Pourcentage",IF(H197&gt;0,G197/H197*100,""),G197))</f>
        <v/>
      </c>
      <c r="J197" s="15">
        <f>IF(OR(I197="",F197="",F197=0),"",I197/F197)</f>
        <v/>
      </c>
      <c r="K197" s="12">
        <f>IF(OR($A197="",L197=0),"",IF(_xlfn.MAXIFS(saisie_hebdo!$C:$C,saisie_hebdo!$I:$I,$A197)=0,"",_xlfn.MAXIFS(saisie_hebdo!$C:$C,saisie_hebdo!$I:$I,$A197)))</f>
        <v/>
      </c>
      <c r="L197" s="12">
        <f>IF($A197="","",COUNTIFS(saisie_hebdo!$I:$I,$A197))</f>
        <v/>
      </c>
      <c r="M197" s="12">
        <f>IF($A197="","",IF(L197=0,"Non rapporté",IF(F197="","Suivi sans cible",IF(D197="Pourcentage",IF(I197&gt;=F197,"Cible atteinte","Sous la cible"),IF(J197&gt;=1,"Cible atteinte","En cours")))))</f>
        <v/>
      </c>
    </row>
    <row r="198">
      <c r="A198" s="12">
        <f>IFERROR(INDEX(ref_indicateurs!$A:$A,195)&amp;"","")</f>
        <v/>
      </c>
      <c r="B198" s="12">
        <f>IF($A198="","",INDEX(ref_indicateurs!$B:$B,MATCH($A198,ref_indicateurs!$A:$A,0))&amp;"")</f>
        <v/>
      </c>
      <c r="C198" s="12">
        <f>IF($A198="","",INDEX(ref_indicateurs!$C:$C,MATCH($A198,ref_indicateurs!$A:$A,0))&amp;"")</f>
        <v/>
      </c>
      <c r="D198" s="12">
        <f>IF($A198="","",INDEX(ref_indicateurs!$E:$E,MATCH($A198,ref_indicateurs!$A:$A,0))&amp;"")</f>
        <v/>
      </c>
      <c r="E198" s="12">
        <f>IF($A198="","",INDEX(ref_indicateurs!$M:$M,MATCH($A198,ref_indicateurs!$A:$A,0))&amp;"")</f>
        <v/>
      </c>
      <c r="F198" s="12">
        <f>IF($A198="","",IF(INDEX(ref_indicateurs!$O:$O,MATCH($A198,ref_indicateurs!$A:$A,0))="","",INDEX(ref_indicateurs!$O:$O,MATCH($A198,ref_indicateurs!$A:$A,0))))</f>
        <v/>
      </c>
      <c r="G198" s="13">
        <f>IF($A198="","",SUMIFS(saisie_hebdo!$L:$L,saisie_hebdo!$I:$I,$A198))</f>
        <v/>
      </c>
      <c r="H198" s="13">
        <f>IF($A198="","",SUMIFS(saisie_hebdo!$M:$M,saisie_hebdo!$I:$I,$A198))</f>
        <v/>
      </c>
      <c r="I198" s="14">
        <f>IF(OR($A198="",L198=0),"",IF(D198="Pourcentage",IF(H198&gt;0,G198/H198*100,""),G198))</f>
        <v/>
      </c>
      <c r="J198" s="15">
        <f>IF(OR(I198="",F198="",F198=0),"",I198/F198)</f>
        <v/>
      </c>
      <c r="K198" s="12">
        <f>IF(OR($A198="",L198=0),"",IF(_xlfn.MAXIFS(saisie_hebdo!$C:$C,saisie_hebdo!$I:$I,$A198)=0,"",_xlfn.MAXIFS(saisie_hebdo!$C:$C,saisie_hebdo!$I:$I,$A198)))</f>
        <v/>
      </c>
      <c r="L198" s="12">
        <f>IF($A198="","",COUNTIFS(saisie_hebdo!$I:$I,$A198))</f>
        <v/>
      </c>
      <c r="M198" s="12">
        <f>IF($A198="","",IF(L198=0,"Non rapporté",IF(F198="","Suivi sans cible",IF(D198="Pourcentage",IF(I198&gt;=F198,"Cible atteinte","Sous la cible"),IF(J198&gt;=1,"Cible atteinte","En cours")))))</f>
        <v/>
      </c>
    </row>
    <row r="199">
      <c r="A199" s="12">
        <f>IFERROR(INDEX(ref_indicateurs!$A:$A,196)&amp;"","")</f>
        <v/>
      </c>
      <c r="B199" s="12">
        <f>IF($A199="","",INDEX(ref_indicateurs!$B:$B,MATCH($A199,ref_indicateurs!$A:$A,0))&amp;"")</f>
        <v/>
      </c>
      <c r="C199" s="12">
        <f>IF($A199="","",INDEX(ref_indicateurs!$C:$C,MATCH($A199,ref_indicateurs!$A:$A,0))&amp;"")</f>
        <v/>
      </c>
      <c r="D199" s="12">
        <f>IF($A199="","",INDEX(ref_indicateurs!$E:$E,MATCH($A199,ref_indicateurs!$A:$A,0))&amp;"")</f>
        <v/>
      </c>
      <c r="E199" s="12">
        <f>IF($A199="","",INDEX(ref_indicateurs!$M:$M,MATCH($A199,ref_indicateurs!$A:$A,0))&amp;"")</f>
        <v/>
      </c>
      <c r="F199" s="12">
        <f>IF($A199="","",IF(INDEX(ref_indicateurs!$O:$O,MATCH($A199,ref_indicateurs!$A:$A,0))="","",INDEX(ref_indicateurs!$O:$O,MATCH($A199,ref_indicateurs!$A:$A,0))))</f>
        <v/>
      </c>
      <c r="G199" s="13">
        <f>IF($A199="","",SUMIFS(saisie_hebdo!$L:$L,saisie_hebdo!$I:$I,$A199))</f>
        <v/>
      </c>
      <c r="H199" s="13">
        <f>IF($A199="","",SUMIFS(saisie_hebdo!$M:$M,saisie_hebdo!$I:$I,$A199))</f>
        <v/>
      </c>
      <c r="I199" s="14">
        <f>IF(OR($A199="",L199=0),"",IF(D199="Pourcentage",IF(H199&gt;0,G199/H199*100,""),G199))</f>
        <v/>
      </c>
      <c r="J199" s="15">
        <f>IF(OR(I199="",F199="",F199=0),"",I199/F199)</f>
        <v/>
      </c>
      <c r="K199" s="12">
        <f>IF(OR($A199="",L199=0),"",IF(_xlfn.MAXIFS(saisie_hebdo!$C:$C,saisie_hebdo!$I:$I,$A199)=0,"",_xlfn.MAXIFS(saisie_hebdo!$C:$C,saisie_hebdo!$I:$I,$A199)))</f>
        <v/>
      </c>
      <c r="L199" s="12">
        <f>IF($A199="","",COUNTIFS(saisie_hebdo!$I:$I,$A199))</f>
        <v/>
      </c>
      <c r="M199" s="12">
        <f>IF($A199="","",IF(L199=0,"Non rapporté",IF(F199="","Suivi sans cible",IF(D199="Pourcentage",IF(I199&gt;=F199,"Cible atteinte","Sous la cible"),IF(J199&gt;=1,"Cible atteinte","En cours")))))</f>
        <v/>
      </c>
    </row>
    <row r="200">
      <c r="A200" s="12">
        <f>IFERROR(INDEX(ref_indicateurs!$A:$A,197)&amp;"","")</f>
        <v/>
      </c>
      <c r="B200" s="12">
        <f>IF($A200="","",INDEX(ref_indicateurs!$B:$B,MATCH($A200,ref_indicateurs!$A:$A,0))&amp;"")</f>
        <v/>
      </c>
      <c r="C200" s="12">
        <f>IF($A200="","",INDEX(ref_indicateurs!$C:$C,MATCH($A200,ref_indicateurs!$A:$A,0))&amp;"")</f>
        <v/>
      </c>
      <c r="D200" s="12">
        <f>IF($A200="","",INDEX(ref_indicateurs!$E:$E,MATCH($A200,ref_indicateurs!$A:$A,0))&amp;"")</f>
        <v/>
      </c>
      <c r="E200" s="12">
        <f>IF($A200="","",INDEX(ref_indicateurs!$M:$M,MATCH($A200,ref_indicateurs!$A:$A,0))&amp;"")</f>
        <v/>
      </c>
      <c r="F200" s="12">
        <f>IF($A200="","",IF(INDEX(ref_indicateurs!$O:$O,MATCH($A200,ref_indicateurs!$A:$A,0))="","",INDEX(ref_indicateurs!$O:$O,MATCH($A200,ref_indicateurs!$A:$A,0))))</f>
        <v/>
      </c>
      <c r="G200" s="13">
        <f>IF($A200="","",SUMIFS(saisie_hebdo!$L:$L,saisie_hebdo!$I:$I,$A200))</f>
        <v/>
      </c>
      <c r="H200" s="13">
        <f>IF($A200="","",SUMIFS(saisie_hebdo!$M:$M,saisie_hebdo!$I:$I,$A200))</f>
        <v/>
      </c>
      <c r="I200" s="14">
        <f>IF(OR($A200="",L200=0),"",IF(D200="Pourcentage",IF(H200&gt;0,G200/H200*100,""),G200))</f>
        <v/>
      </c>
      <c r="J200" s="15">
        <f>IF(OR(I200="",F200="",F200=0),"",I200/F200)</f>
        <v/>
      </c>
      <c r="K200" s="12">
        <f>IF(OR($A200="",L200=0),"",IF(_xlfn.MAXIFS(saisie_hebdo!$C:$C,saisie_hebdo!$I:$I,$A200)=0,"",_xlfn.MAXIFS(saisie_hebdo!$C:$C,saisie_hebdo!$I:$I,$A200)))</f>
        <v/>
      </c>
      <c r="L200" s="12">
        <f>IF($A200="","",COUNTIFS(saisie_hebdo!$I:$I,$A200))</f>
        <v/>
      </c>
      <c r="M200" s="12">
        <f>IF($A200="","",IF(L200=0,"Non rapporté",IF(F200="","Suivi sans cible",IF(D200="Pourcentage",IF(I200&gt;=F200,"Cible atteinte","Sous la cible"),IF(J200&gt;=1,"Cible atteinte","En cours")))))</f>
        <v/>
      </c>
    </row>
    <row r="201">
      <c r="A201" s="12">
        <f>IFERROR(INDEX(ref_indicateurs!$A:$A,198)&amp;"","")</f>
        <v/>
      </c>
      <c r="B201" s="12">
        <f>IF($A201="","",INDEX(ref_indicateurs!$B:$B,MATCH($A201,ref_indicateurs!$A:$A,0))&amp;"")</f>
        <v/>
      </c>
      <c r="C201" s="12">
        <f>IF($A201="","",INDEX(ref_indicateurs!$C:$C,MATCH($A201,ref_indicateurs!$A:$A,0))&amp;"")</f>
        <v/>
      </c>
      <c r="D201" s="12">
        <f>IF($A201="","",INDEX(ref_indicateurs!$E:$E,MATCH($A201,ref_indicateurs!$A:$A,0))&amp;"")</f>
        <v/>
      </c>
      <c r="E201" s="12">
        <f>IF($A201="","",INDEX(ref_indicateurs!$M:$M,MATCH($A201,ref_indicateurs!$A:$A,0))&amp;"")</f>
        <v/>
      </c>
      <c r="F201" s="12">
        <f>IF($A201="","",IF(INDEX(ref_indicateurs!$O:$O,MATCH($A201,ref_indicateurs!$A:$A,0))="","",INDEX(ref_indicateurs!$O:$O,MATCH($A201,ref_indicateurs!$A:$A,0))))</f>
        <v/>
      </c>
      <c r="G201" s="13">
        <f>IF($A201="","",SUMIFS(saisie_hebdo!$L:$L,saisie_hebdo!$I:$I,$A201))</f>
        <v/>
      </c>
      <c r="H201" s="13">
        <f>IF($A201="","",SUMIFS(saisie_hebdo!$M:$M,saisie_hebdo!$I:$I,$A201))</f>
        <v/>
      </c>
      <c r="I201" s="14">
        <f>IF(OR($A201="",L201=0),"",IF(D201="Pourcentage",IF(H201&gt;0,G201/H201*100,""),G201))</f>
        <v/>
      </c>
      <c r="J201" s="15">
        <f>IF(OR(I201="",F201="",F201=0),"",I201/F201)</f>
        <v/>
      </c>
      <c r="K201" s="12">
        <f>IF(OR($A201="",L201=0),"",IF(_xlfn.MAXIFS(saisie_hebdo!$C:$C,saisie_hebdo!$I:$I,$A201)=0,"",_xlfn.MAXIFS(saisie_hebdo!$C:$C,saisie_hebdo!$I:$I,$A201)))</f>
        <v/>
      </c>
      <c r="L201" s="12">
        <f>IF($A201="","",COUNTIFS(saisie_hebdo!$I:$I,$A201))</f>
        <v/>
      </c>
      <c r="M201" s="12">
        <f>IF($A201="","",IF(L201=0,"Non rapporté",IF(F201="","Suivi sans cible",IF(D201="Pourcentage",IF(I201&gt;=F201,"Cible atteinte","Sous la cible"),IF(J201&gt;=1,"Cible atteinte","En cours")))))</f>
        <v/>
      </c>
    </row>
    <row r="202">
      <c r="A202" s="12">
        <f>IFERROR(INDEX(ref_indicateurs!$A:$A,199)&amp;"","")</f>
        <v/>
      </c>
      <c r="B202" s="12">
        <f>IF($A202="","",INDEX(ref_indicateurs!$B:$B,MATCH($A202,ref_indicateurs!$A:$A,0))&amp;"")</f>
        <v/>
      </c>
      <c r="C202" s="12">
        <f>IF($A202="","",INDEX(ref_indicateurs!$C:$C,MATCH($A202,ref_indicateurs!$A:$A,0))&amp;"")</f>
        <v/>
      </c>
      <c r="D202" s="12">
        <f>IF($A202="","",INDEX(ref_indicateurs!$E:$E,MATCH($A202,ref_indicateurs!$A:$A,0))&amp;"")</f>
        <v/>
      </c>
      <c r="E202" s="12">
        <f>IF($A202="","",INDEX(ref_indicateurs!$M:$M,MATCH($A202,ref_indicateurs!$A:$A,0))&amp;"")</f>
        <v/>
      </c>
      <c r="F202" s="12">
        <f>IF($A202="","",IF(INDEX(ref_indicateurs!$O:$O,MATCH($A202,ref_indicateurs!$A:$A,0))="","",INDEX(ref_indicateurs!$O:$O,MATCH($A202,ref_indicateurs!$A:$A,0))))</f>
        <v/>
      </c>
      <c r="G202" s="13">
        <f>IF($A202="","",SUMIFS(saisie_hebdo!$L:$L,saisie_hebdo!$I:$I,$A202))</f>
        <v/>
      </c>
      <c r="H202" s="13">
        <f>IF($A202="","",SUMIFS(saisie_hebdo!$M:$M,saisie_hebdo!$I:$I,$A202))</f>
        <v/>
      </c>
      <c r="I202" s="14">
        <f>IF(OR($A202="",L202=0),"",IF(D202="Pourcentage",IF(H202&gt;0,G202/H202*100,""),G202))</f>
        <v/>
      </c>
      <c r="J202" s="15">
        <f>IF(OR(I202="",F202="",F202=0),"",I202/F202)</f>
        <v/>
      </c>
      <c r="K202" s="12">
        <f>IF(OR($A202="",L202=0),"",IF(_xlfn.MAXIFS(saisie_hebdo!$C:$C,saisie_hebdo!$I:$I,$A202)=0,"",_xlfn.MAXIFS(saisie_hebdo!$C:$C,saisie_hebdo!$I:$I,$A202)))</f>
        <v/>
      </c>
      <c r="L202" s="12">
        <f>IF($A202="","",COUNTIFS(saisie_hebdo!$I:$I,$A202))</f>
        <v/>
      </c>
      <c r="M202" s="12">
        <f>IF($A202="","",IF(L202=0,"Non rapporté",IF(F202="","Suivi sans cible",IF(D202="Pourcentage",IF(I202&gt;=F202,"Cible atteinte","Sous la cible"),IF(J202&gt;=1,"Cible atteinte","En cours")))))</f>
        <v/>
      </c>
    </row>
    <row r="203">
      <c r="A203" s="12">
        <f>IFERROR(INDEX(ref_indicateurs!$A:$A,200)&amp;"","")</f>
        <v/>
      </c>
      <c r="B203" s="12">
        <f>IF($A203="","",INDEX(ref_indicateurs!$B:$B,MATCH($A203,ref_indicateurs!$A:$A,0))&amp;"")</f>
        <v/>
      </c>
      <c r="C203" s="12">
        <f>IF($A203="","",INDEX(ref_indicateurs!$C:$C,MATCH($A203,ref_indicateurs!$A:$A,0))&amp;"")</f>
        <v/>
      </c>
      <c r="D203" s="12">
        <f>IF($A203="","",INDEX(ref_indicateurs!$E:$E,MATCH($A203,ref_indicateurs!$A:$A,0))&amp;"")</f>
        <v/>
      </c>
      <c r="E203" s="12">
        <f>IF($A203="","",INDEX(ref_indicateurs!$M:$M,MATCH($A203,ref_indicateurs!$A:$A,0))&amp;"")</f>
        <v/>
      </c>
      <c r="F203" s="12">
        <f>IF($A203="","",IF(INDEX(ref_indicateurs!$O:$O,MATCH($A203,ref_indicateurs!$A:$A,0))="","",INDEX(ref_indicateurs!$O:$O,MATCH($A203,ref_indicateurs!$A:$A,0))))</f>
        <v/>
      </c>
      <c r="G203" s="13">
        <f>IF($A203="","",SUMIFS(saisie_hebdo!$L:$L,saisie_hebdo!$I:$I,$A203))</f>
        <v/>
      </c>
      <c r="H203" s="13">
        <f>IF($A203="","",SUMIFS(saisie_hebdo!$M:$M,saisie_hebdo!$I:$I,$A203))</f>
        <v/>
      </c>
      <c r="I203" s="14">
        <f>IF(OR($A203="",L203=0),"",IF(D203="Pourcentage",IF(H203&gt;0,G203/H203*100,""),G203))</f>
        <v/>
      </c>
      <c r="J203" s="15">
        <f>IF(OR(I203="",F203="",F203=0),"",I203/F203)</f>
        <v/>
      </c>
      <c r="K203" s="12">
        <f>IF(OR($A203="",L203=0),"",IF(_xlfn.MAXIFS(saisie_hebdo!$C:$C,saisie_hebdo!$I:$I,$A203)=0,"",_xlfn.MAXIFS(saisie_hebdo!$C:$C,saisie_hebdo!$I:$I,$A203)))</f>
        <v/>
      </c>
      <c r="L203" s="12">
        <f>IF($A203="","",COUNTIFS(saisie_hebdo!$I:$I,$A203))</f>
        <v/>
      </c>
      <c r="M203" s="12">
        <f>IF($A203="","",IF(L203=0,"Non rapporté",IF(F203="","Suivi sans cible",IF(D203="Pourcentage",IF(I203&gt;=F203,"Cible atteinte","Sous la cible"),IF(J203&gt;=1,"Cible atteinte","En cours")))))</f>
        <v/>
      </c>
    </row>
    <row r="204">
      <c r="A204" s="12">
        <f>IFERROR(INDEX(ref_indicateurs!$A:$A,201)&amp;"","")</f>
        <v/>
      </c>
      <c r="B204" s="12">
        <f>IF($A204="","",INDEX(ref_indicateurs!$B:$B,MATCH($A204,ref_indicateurs!$A:$A,0))&amp;"")</f>
        <v/>
      </c>
      <c r="C204" s="12">
        <f>IF($A204="","",INDEX(ref_indicateurs!$C:$C,MATCH($A204,ref_indicateurs!$A:$A,0))&amp;"")</f>
        <v/>
      </c>
      <c r="D204" s="12">
        <f>IF($A204="","",INDEX(ref_indicateurs!$E:$E,MATCH($A204,ref_indicateurs!$A:$A,0))&amp;"")</f>
        <v/>
      </c>
      <c r="E204" s="12">
        <f>IF($A204="","",INDEX(ref_indicateurs!$M:$M,MATCH($A204,ref_indicateurs!$A:$A,0))&amp;"")</f>
        <v/>
      </c>
      <c r="F204" s="12">
        <f>IF($A204="","",IF(INDEX(ref_indicateurs!$O:$O,MATCH($A204,ref_indicateurs!$A:$A,0))="","",INDEX(ref_indicateurs!$O:$O,MATCH($A204,ref_indicateurs!$A:$A,0))))</f>
        <v/>
      </c>
      <c r="G204" s="13">
        <f>IF($A204="","",SUMIFS(saisie_hebdo!$L:$L,saisie_hebdo!$I:$I,$A204))</f>
        <v/>
      </c>
      <c r="H204" s="13">
        <f>IF($A204="","",SUMIFS(saisie_hebdo!$M:$M,saisie_hebdo!$I:$I,$A204))</f>
        <v/>
      </c>
      <c r="I204" s="14">
        <f>IF(OR($A204="",L204=0),"",IF(D204="Pourcentage",IF(H204&gt;0,G204/H204*100,""),G204))</f>
        <v/>
      </c>
      <c r="J204" s="15">
        <f>IF(OR(I204="",F204="",F204=0),"",I204/F204)</f>
        <v/>
      </c>
      <c r="K204" s="12">
        <f>IF(OR($A204="",L204=0),"",IF(_xlfn.MAXIFS(saisie_hebdo!$C:$C,saisie_hebdo!$I:$I,$A204)=0,"",_xlfn.MAXIFS(saisie_hebdo!$C:$C,saisie_hebdo!$I:$I,$A204)))</f>
        <v/>
      </c>
      <c r="L204" s="12">
        <f>IF($A204="","",COUNTIFS(saisie_hebdo!$I:$I,$A204))</f>
        <v/>
      </c>
      <c r="M204" s="12">
        <f>IF($A204="","",IF(L204=0,"Non rapporté",IF(F204="","Suivi sans cible",IF(D204="Pourcentage",IF(I204&gt;=F204,"Cible atteinte","Sous la cible"),IF(J204&gt;=1,"Cible atteinte","En cours")))))</f>
        <v/>
      </c>
    </row>
    <row r="205">
      <c r="A205" s="12">
        <f>IFERROR(INDEX(ref_indicateurs!$A:$A,202)&amp;"","")</f>
        <v/>
      </c>
      <c r="B205" s="12">
        <f>IF($A205="","",INDEX(ref_indicateurs!$B:$B,MATCH($A205,ref_indicateurs!$A:$A,0))&amp;"")</f>
        <v/>
      </c>
      <c r="C205" s="12">
        <f>IF($A205="","",INDEX(ref_indicateurs!$C:$C,MATCH($A205,ref_indicateurs!$A:$A,0))&amp;"")</f>
        <v/>
      </c>
      <c r="D205" s="12">
        <f>IF($A205="","",INDEX(ref_indicateurs!$E:$E,MATCH($A205,ref_indicateurs!$A:$A,0))&amp;"")</f>
        <v/>
      </c>
      <c r="E205" s="12">
        <f>IF($A205="","",INDEX(ref_indicateurs!$M:$M,MATCH($A205,ref_indicateurs!$A:$A,0))&amp;"")</f>
        <v/>
      </c>
      <c r="F205" s="12">
        <f>IF($A205="","",IF(INDEX(ref_indicateurs!$O:$O,MATCH($A205,ref_indicateurs!$A:$A,0))="","",INDEX(ref_indicateurs!$O:$O,MATCH($A205,ref_indicateurs!$A:$A,0))))</f>
        <v/>
      </c>
      <c r="G205" s="13">
        <f>IF($A205="","",SUMIFS(saisie_hebdo!$L:$L,saisie_hebdo!$I:$I,$A205))</f>
        <v/>
      </c>
      <c r="H205" s="13">
        <f>IF($A205="","",SUMIFS(saisie_hebdo!$M:$M,saisie_hebdo!$I:$I,$A205))</f>
        <v/>
      </c>
      <c r="I205" s="14">
        <f>IF(OR($A205="",L205=0),"",IF(D205="Pourcentage",IF(H205&gt;0,G205/H205*100,""),G205))</f>
        <v/>
      </c>
      <c r="J205" s="15">
        <f>IF(OR(I205="",F205="",F205=0),"",I205/F205)</f>
        <v/>
      </c>
      <c r="K205" s="12">
        <f>IF(OR($A205="",L205=0),"",IF(_xlfn.MAXIFS(saisie_hebdo!$C:$C,saisie_hebdo!$I:$I,$A205)=0,"",_xlfn.MAXIFS(saisie_hebdo!$C:$C,saisie_hebdo!$I:$I,$A205)))</f>
        <v/>
      </c>
      <c r="L205" s="12">
        <f>IF($A205="","",COUNTIFS(saisie_hebdo!$I:$I,$A205))</f>
        <v/>
      </c>
      <c r="M205" s="12">
        <f>IF($A205="","",IF(L205=0,"Non rapporté",IF(F205="","Suivi sans cible",IF(D205="Pourcentage",IF(I205&gt;=F205,"Cible atteinte","Sous la cible"),IF(J205&gt;=1,"Cible atteinte","En cours")))))</f>
        <v/>
      </c>
    </row>
    <row r="206">
      <c r="A206" s="12">
        <f>IFERROR(INDEX(ref_indicateurs!$A:$A,203)&amp;"","")</f>
        <v/>
      </c>
      <c r="B206" s="12">
        <f>IF($A206="","",INDEX(ref_indicateurs!$B:$B,MATCH($A206,ref_indicateurs!$A:$A,0))&amp;"")</f>
        <v/>
      </c>
      <c r="C206" s="12">
        <f>IF($A206="","",INDEX(ref_indicateurs!$C:$C,MATCH($A206,ref_indicateurs!$A:$A,0))&amp;"")</f>
        <v/>
      </c>
      <c r="D206" s="12">
        <f>IF($A206="","",INDEX(ref_indicateurs!$E:$E,MATCH($A206,ref_indicateurs!$A:$A,0))&amp;"")</f>
        <v/>
      </c>
      <c r="E206" s="12">
        <f>IF($A206="","",INDEX(ref_indicateurs!$M:$M,MATCH($A206,ref_indicateurs!$A:$A,0))&amp;"")</f>
        <v/>
      </c>
      <c r="F206" s="12">
        <f>IF($A206="","",IF(INDEX(ref_indicateurs!$O:$O,MATCH($A206,ref_indicateurs!$A:$A,0))="","",INDEX(ref_indicateurs!$O:$O,MATCH($A206,ref_indicateurs!$A:$A,0))))</f>
        <v/>
      </c>
      <c r="G206" s="13">
        <f>IF($A206="","",SUMIFS(saisie_hebdo!$L:$L,saisie_hebdo!$I:$I,$A206))</f>
        <v/>
      </c>
      <c r="H206" s="13">
        <f>IF($A206="","",SUMIFS(saisie_hebdo!$M:$M,saisie_hebdo!$I:$I,$A206))</f>
        <v/>
      </c>
      <c r="I206" s="14">
        <f>IF(OR($A206="",L206=0),"",IF(D206="Pourcentage",IF(H206&gt;0,G206/H206*100,""),G206))</f>
        <v/>
      </c>
      <c r="J206" s="15">
        <f>IF(OR(I206="",F206="",F206=0),"",I206/F206)</f>
        <v/>
      </c>
      <c r="K206" s="12">
        <f>IF(OR($A206="",L206=0),"",IF(_xlfn.MAXIFS(saisie_hebdo!$C:$C,saisie_hebdo!$I:$I,$A206)=0,"",_xlfn.MAXIFS(saisie_hebdo!$C:$C,saisie_hebdo!$I:$I,$A206)))</f>
        <v/>
      </c>
      <c r="L206" s="12">
        <f>IF($A206="","",COUNTIFS(saisie_hebdo!$I:$I,$A206))</f>
        <v/>
      </c>
      <c r="M206" s="12">
        <f>IF($A206="","",IF(L206=0,"Non rapporté",IF(F206="","Suivi sans cible",IF(D206="Pourcentage",IF(I206&gt;=F206,"Cible atteinte","Sous la cible"),IF(J206&gt;=1,"Cible atteinte","En cours")))))</f>
        <v/>
      </c>
    </row>
    <row r="207">
      <c r="A207" s="12">
        <f>IFERROR(INDEX(ref_indicateurs!$A:$A,204)&amp;"","")</f>
        <v/>
      </c>
      <c r="B207" s="12">
        <f>IF($A207="","",INDEX(ref_indicateurs!$B:$B,MATCH($A207,ref_indicateurs!$A:$A,0))&amp;"")</f>
        <v/>
      </c>
      <c r="C207" s="12">
        <f>IF($A207="","",INDEX(ref_indicateurs!$C:$C,MATCH($A207,ref_indicateurs!$A:$A,0))&amp;"")</f>
        <v/>
      </c>
      <c r="D207" s="12">
        <f>IF($A207="","",INDEX(ref_indicateurs!$E:$E,MATCH($A207,ref_indicateurs!$A:$A,0))&amp;"")</f>
        <v/>
      </c>
      <c r="E207" s="12">
        <f>IF($A207="","",INDEX(ref_indicateurs!$M:$M,MATCH($A207,ref_indicateurs!$A:$A,0))&amp;"")</f>
        <v/>
      </c>
      <c r="F207" s="12">
        <f>IF($A207="","",IF(INDEX(ref_indicateurs!$O:$O,MATCH($A207,ref_indicateurs!$A:$A,0))="","",INDEX(ref_indicateurs!$O:$O,MATCH($A207,ref_indicateurs!$A:$A,0))))</f>
        <v/>
      </c>
      <c r="G207" s="13">
        <f>IF($A207="","",SUMIFS(saisie_hebdo!$L:$L,saisie_hebdo!$I:$I,$A207))</f>
        <v/>
      </c>
      <c r="H207" s="13">
        <f>IF($A207="","",SUMIFS(saisie_hebdo!$M:$M,saisie_hebdo!$I:$I,$A207))</f>
        <v/>
      </c>
      <c r="I207" s="14">
        <f>IF(OR($A207="",L207=0),"",IF(D207="Pourcentage",IF(H207&gt;0,G207/H207*100,""),G207))</f>
        <v/>
      </c>
      <c r="J207" s="15">
        <f>IF(OR(I207="",F207="",F207=0),"",I207/F207)</f>
        <v/>
      </c>
      <c r="K207" s="12">
        <f>IF(OR($A207="",L207=0),"",IF(_xlfn.MAXIFS(saisie_hebdo!$C:$C,saisie_hebdo!$I:$I,$A207)=0,"",_xlfn.MAXIFS(saisie_hebdo!$C:$C,saisie_hebdo!$I:$I,$A207)))</f>
        <v/>
      </c>
      <c r="L207" s="12">
        <f>IF($A207="","",COUNTIFS(saisie_hebdo!$I:$I,$A207))</f>
        <v/>
      </c>
      <c r="M207" s="12">
        <f>IF($A207="","",IF(L207=0,"Non rapporté",IF(F207="","Suivi sans cible",IF(D207="Pourcentage",IF(I207&gt;=F207,"Cible atteinte","Sous la cible"),IF(J207&gt;=1,"Cible atteinte","En cours")))))</f>
        <v/>
      </c>
    </row>
    <row r="208">
      <c r="A208" s="12">
        <f>IFERROR(INDEX(ref_indicateurs!$A:$A,205)&amp;"","")</f>
        <v/>
      </c>
      <c r="B208" s="12">
        <f>IF($A208="","",INDEX(ref_indicateurs!$B:$B,MATCH($A208,ref_indicateurs!$A:$A,0))&amp;"")</f>
        <v/>
      </c>
      <c r="C208" s="12">
        <f>IF($A208="","",INDEX(ref_indicateurs!$C:$C,MATCH($A208,ref_indicateurs!$A:$A,0))&amp;"")</f>
        <v/>
      </c>
      <c r="D208" s="12">
        <f>IF($A208="","",INDEX(ref_indicateurs!$E:$E,MATCH($A208,ref_indicateurs!$A:$A,0))&amp;"")</f>
        <v/>
      </c>
      <c r="E208" s="12">
        <f>IF($A208="","",INDEX(ref_indicateurs!$M:$M,MATCH($A208,ref_indicateurs!$A:$A,0))&amp;"")</f>
        <v/>
      </c>
      <c r="F208" s="12">
        <f>IF($A208="","",IF(INDEX(ref_indicateurs!$O:$O,MATCH($A208,ref_indicateurs!$A:$A,0))="","",INDEX(ref_indicateurs!$O:$O,MATCH($A208,ref_indicateurs!$A:$A,0))))</f>
        <v/>
      </c>
      <c r="G208" s="13">
        <f>IF($A208="","",SUMIFS(saisie_hebdo!$L:$L,saisie_hebdo!$I:$I,$A208))</f>
        <v/>
      </c>
      <c r="H208" s="13">
        <f>IF($A208="","",SUMIFS(saisie_hebdo!$M:$M,saisie_hebdo!$I:$I,$A208))</f>
        <v/>
      </c>
      <c r="I208" s="14">
        <f>IF(OR($A208="",L208=0),"",IF(D208="Pourcentage",IF(H208&gt;0,G208/H208*100,""),G208))</f>
        <v/>
      </c>
      <c r="J208" s="15">
        <f>IF(OR(I208="",F208="",F208=0),"",I208/F208)</f>
        <v/>
      </c>
      <c r="K208" s="12">
        <f>IF(OR($A208="",L208=0),"",IF(_xlfn.MAXIFS(saisie_hebdo!$C:$C,saisie_hebdo!$I:$I,$A208)=0,"",_xlfn.MAXIFS(saisie_hebdo!$C:$C,saisie_hebdo!$I:$I,$A208)))</f>
        <v/>
      </c>
      <c r="L208" s="12">
        <f>IF($A208="","",COUNTIFS(saisie_hebdo!$I:$I,$A208))</f>
        <v/>
      </c>
      <c r="M208" s="12">
        <f>IF($A208="","",IF(L208=0,"Non rapporté",IF(F208="","Suivi sans cible",IF(D208="Pourcentage",IF(I208&gt;=F208,"Cible atteinte","Sous la cible"),IF(J208&gt;=1,"Cible atteinte","En cours")))))</f>
        <v/>
      </c>
    </row>
    <row r="209">
      <c r="A209" s="12">
        <f>IFERROR(INDEX(ref_indicateurs!$A:$A,206)&amp;"","")</f>
        <v/>
      </c>
      <c r="B209" s="12">
        <f>IF($A209="","",INDEX(ref_indicateurs!$B:$B,MATCH($A209,ref_indicateurs!$A:$A,0))&amp;"")</f>
        <v/>
      </c>
      <c r="C209" s="12">
        <f>IF($A209="","",INDEX(ref_indicateurs!$C:$C,MATCH($A209,ref_indicateurs!$A:$A,0))&amp;"")</f>
        <v/>
      </c>
      <c r="D209" s="12">
        <f>IF($A209="","",INDEX(ref_indicateurs!$E:$E,MATCH($A209,ref_indicateurs!$A:$A,0))&amp;"")</f>
        <v/>
      </c>
      <c r="E209" s="12">
        <f>IF($A209="","",INDEX(ref_indicateurs!$M:$M,MATCH($A209,ref_indicateurs!$A:$A,0))&amp;"")</f>
        <v/>
      </c>
      <c r="F209" s="12">
        <f>IF($A209="","",IF(INDEX(ref_indicateurs!$O:$O,MATCH($A209,ref_indicateurs!$A:$A,0))="","",INDEX(ref_indicateurs!$O:$O,MATCH($A209,ref_indicateurs!$A:$A,0))))</f>
        <v/>
      </c>
      <c r="G209" s="13">
        <f>IF($A209="","",SUMIFS(saisie_hebdo!$L:$L,saisie_hebdo!$I:$I,$A209))</f>
        <v/>
      </c>
      <c r="H209" s="13">
        <f>IF($A209="","",SUMIFS(saisie_hebdo!$M:$M,saisie_hebdo!$I:$I,$A209))</f>
        <v/>
      </c>
      <c r="I209" s="14">
        <f>IF(OR($A209="",L209=0),"",IF(D209="Pourcentage",IF(H209&gt;0,G209/H209*100,""),G209))</f>
        <v/>
      </c>
      <c r="J209" s="15">
        <f>IF(OR(I209="",F209="",F209=0),"",I209/F209)</f>
        <v/>
      </c>
      <c r="K209" s="12">
        <f>IF(OR($A209="",L209=0),"",IF(_xlfn.MAXIFS(saisie_hebdo!$C:$C,saisie_hebdo!$I:$I,$A209)=0,"",_xlfn.MAXIFS(saisie_hebdo!$C:$C,saisie_hebdo!$I:$I,$A209)))</f>
        <v/>
      </c>
      <c r="L209" s="12">
        <f>IF($A209="","",COUNTIFS(saisie_hebdo!$I:$I,$A209))</f>
        <v/>
      </c>
      <c r="M209" s="12">
        <f>IF($A209="","",IF(L209=0,"Non rapporté",IF(F209="","Suivi sans cible",IF(D209="Pourcentage",IF(I209&gt;=F209,"Cible atteinte","Sous la cible"),IF(J209&gt;=1,"Cible atteinte","En cours")))))</f>
        <v/>
      </c>
    </row>
    <row r="210">
      <c r="A210" s="12">
        <f>IFERROR(INDEX(ref_indicateurs!$A:$A,207)&amp;"","")</f>
        <v/>
      </c>
      <c r="B210" s="12">
        <f>IF($A210="","",INDEX(ref_indicateurs!$B:$B,MATCH($A210,ref_indicateurs!$A:$A,0))&amp;"")</f>
        <v/>
      </c>
      <c r="C210" s="12">
        <f>IF($A210="","",INDEX(ref_indicateurs!$C:$C,MATCH($A210,ref_indicateurs!$A:$A,0))&amp;"")</f>
        <v/>
      </c>
      <c r="D210" s="12">
        <f>IF($A210="","",INDEX(ref_indicateurs!$E:$E,MATCH($A210,ref_indicateurs!$A:$A,0))&amp;"")</f>
        <v/>
      </c>
      <c r="E210" s="12">
        <f>IF($A210="","",INDEX(ref_indicateurs!$M:$M,MATCH($A210,ref_indicateurs!$A:$A,0))&amp;"")</f>
        <v/>
      </c>
      <c r="F210" s="12">
        <f>IF($A210="","",IF(INDEX(ref_indicateurs!$O:$O,MATCH($A210,ref_indicateurs!$A:$A,0))="","",INDEX(ref_indicateurs!$O:$O,MATCH($A210,ref_indicateurs!$A:$A,0))))</f>
        <v/>
      </c>
      <c r="G210" s="13">
        <f>IF($A210="","",SUMIFS(saisie_hebdo!$L:$L,saisie_hebdo!$I:$I,$A210))</f>
        <v/>
      </c>
      <c r="H210" s="13">
        <f>IF($A210="","",SUMIFS(saisie_hebdo!$M:$M,saisie_hebdo!$I:$I,$A210))</f>
        <v/>
      </c>
      <c r="I210" s="14">
        <f>IF(OR($A210="",L210=0),"",IF(D210="Pourcentage",IF(H210&gt;0,G210/H210*100,""),G210))</f>
        <v/>
      </c>
      <c r="J210" s="15">
        <f>IF(OR(I210="",F210="",F210=0),"",I210/F210)</f>
        <v/>
      </c>
      <c r="K210" s="12">
        <f>IF(OR($A210="",L210=0),"",IF(_xlfn.MAXIFS(saisie_hebdo!$C:$C,saisie_hebdo!$I:$I,$A210)=0,"",_xlfn.MAXIFS(saisie_hebdo!$C:$C,saisie_hebdo!$I:$I,$A210)))</f>
        <v/>
      </c>
      <c r="L210" s="12">
        <f>IF($A210="","",COUNTIFS(saisie_hebdo!$I:$I,$A210))</f>
        <v/>
      </c>
      <c r="M210" s="12">
        <f>IF($A210="","",IF(L210=0,"Non rapporté",IF(F210="","Suivi sans cible",IF(D210="Pourcentage",IF(I210&gt;=F210,"Cible atteinte","Sous la cible"),IF(J210&gt;=1,"Cible atteinte","En cours")))))</f>
        <v/>
      </c>
    </row>
    <row r="211">
      <c r="A211" s="12">
        <f>IFERROR(INDEX(ref_indicateurs!$A:$A,208)&amp;"","")</f>
        <v/>
      </c>
      <c r="B211" s="12">
        <f>IF($A211="","",INDEX(ref_indicateurs!$B:$B,MATCH($A211,ref_indicateurs!$A:$A,0))&amp;"")</f>
        <v/>
      </c>
      <c r="C211" s="12">
        <f>IF($A211="","",INDEX(ref_indicateurs!$C:$C,MATCH($A211,ref_indicateurs!$A:$A,0))&amp;"")</f>
        <v/>
      </c>
      <c r="D211" s="12">
        <f>IF($A211="","",INDEX(ref_indicateurs!$E:$E,MATCH($A211,ref_indicateurs!$A:$A,0))&amp;"")</f>
        <v/>
      </c>
      <c r="E211" s="12">
        <f>IF($A211="","",INDEX(ref_indicateurs!$M:$M,MATCH($A211,ref_indicateurs!$A:$A,0))&amp;"")</f>
        <v/>
      </c>
      <c r="F211" s="12">
        <f>IF($A211="","",IF(INDEX(ref_indicateurs!$O:$O,MATCH($A211,ref_indicateurs!$A:$A,0))="","",INDEX(ref_indicateurs!$O:$O,MATCH($A211,ref_indicateurs!$A:$A,0))))</f>
        <v/>
      </c>
      <c r="G211" s="13">
        <f>IF($A211="","",SUMIFS(saisie_hebdo!$L:$L,saisie_hebdo!$I:$I,$A211))</f>
        <v/>
      </c>
      <c r="H211" s="13">
        <f>IF($A211="","",SUMIFS(saisie_hebdo!$M:$M,saisie_hebdo!$I:$I,$A211))</f>
        <v/>
      </c>
      <c r="I211" s="14">
        <f>IF(OR($A211="",L211=0),"",IF(D211="Pourcentage",IF(H211&gt;0,G211/H211*100,""),G211))</f>
        <v/>
      </c>
      <c r="J211" s="15">
        <f>IF(OR(I211="",F211="",F211=0),"",I211/F211)</f>
        <v/>
      </c>
      <c r="K211" s="12">
        <f>IF(OR($A211="",L211=0),"",IF(_xlfn.MAXIFS(saisie_hebdo!$C:$C,saisie_hebdo!$I:$I,$A211)=0,"",_xlfn.MAXIFS(saisie_hebdo!$C:$C,saisie_hebdo!$I:$I,$A211)))</f>
        <v/>
      </c>
      <c r="L211" s="12">
        <f>IF($A211="","",COUNTIFS(saisie_hebdo!$I:$I,$A211))</f>
        <v/>
      </c>
      <c r="M211" s="12">
        <f>IF($A211="","",IF(L211=0,"Non rapporté",IF(F211="","Suivi sans cible",IF(D211="Pourcentage",IF(I211&gt;=F211,"Cible atteinte","Sous la cible"),IF(J211&gt;=1,"Cible atteinte","En cours")))))</f>
        <v/>
      </c>
    </row>
    <row r="212">
      <c r="A212" s="12">
        <f>IFERROR(INDEX(ref_indicateurs!$A:$A,209)&amp;"","")</f>
        <v/>
      </c>
      <c r="B212" s="12">
        <f>IF($A212="","",INDEX(ref_indicateurs!$B:$B,MATCH($A212,ref_indicateurs!$A:$A,0))&amp;"")</f>
        <v/>
      </c>
      <c r="C212" s="12">
        <f>IF($A212="","",INDEX(ref_indicateurs!$C:$C,MATCH($A212,ref_indicateurs!$A:$A,0))&amp;"")</f>
        <v/>
      </c>
      <c r="D212" s="12">
        <f>IF($A212="","",INDEX(ref_indicateurs!$E:$E,MATCH($A212,ref_indicateurs!$A:$A,0))&amp;"")</f>
        <v/>
      </c>
      <c r="E212" s="12">
        <f>IF($A212="","",INDEX(ref_indicateurs!$M:$M,MATCH($A212,ref_indicateurs!$A:$A,0))&amp;"")</f>
        <v/>
      </c>
      <c r="F212" s="12">
        <f>IF($A212="","",IF(INDEX(ref_indicateurs!$O:$O,MATCH($A212,ref_indicateurs!$A:$A,0))="","",INDEX(ref_indicateurs!$O:$O,MATCH($A212,ref_indicateurs!$A:$A,0))))</f>
        <v/>
      </c>
      <c r="G212" s="13">
        <f>IF($A212="","",SUMIFS(saisie_hebdo!$L:$L,saisie_hebdo!$I:$I,$A212))</f>
        <v/>
      </c>
      <c r="H212" s="13">
        <f>IF($A212="","",SUMIFS(saisie_hebdo!$M:$M,saisie_hebdo!$I:$I,$A212))</f>
        <v/>
      </c>
      <c r="I212" s="14">
        <f>IF(OR($A212="",L212=0),"",IF(D212="Pourcentage",IF(H212&gt;0,G212/H212*100,""),G212))</f>
        <v/>
      </c>
      <c r="J212" s="15">
        <f>IF(OR(I212="",F212="",F212=0),"",I212/F212)</f>
        <v/>
      </c>
      <c r="K212" s="12">
        <f>IF(OR($A212="",L212=0),"",IF(_xlfn.MAXIFS(saisie_hebdo!$C:$C,saisie_hebdo!$I:$I,$A212)=0,"",_xlfn.MAXIFS(saisie_hebdo!$C:$C,saisie_hebdo!$I:$I,$A212)))</f>
        <v/>
      </c>
      <c r="L212" s="12">
        <f>IF($A212="","",COUNTIFS(saisie_hebdo!$I:$I,$A212))</f>
        <v/>
      </c>
      <c r="M212" s="12">
        <f>IF($A212="","",IF(L212=0,"Non rapporté",IF(F212="","Suivi sans cible",IF(D212="Pourcentage",IF(I212&gt;=F212,"Cible atteinte","Sous la cible"),IF(J212&gt;=1,"Cible atteinte","En cours")))))</f>
        <v/>
      </c>
    </row>
    <row r="213">
      <c r="A213" s="12">
        <f>IFERROR(INDEX(ref_indicateurs!$A:$A,210)&amp;"","")</f>
        <v/>
      </c>
      <c r="B213" s="12">
        <f>IF($A213="","",INDEX(ref_indicateurs!$B:$B,MATCH($A213,ref_indicateurs!$A:$A,0))&amp;"")</f>
        <v/>
      </c>
      <c r="C213" s="12">
        <f>IF($A213="","",INDEX(ref_indicateurs!$C:$C,MATCH($A213,ref_indicateurs!$A:$A,0))&amp;"")</f>
        <v/>
      </c>
      <c r="D213" s="12">
        <f>IF($A213="","",INDEX(ref_indicateurs!$E:$E,MATCH($A213,ref_indicateurs!$A:$A,0))&amp;"")</f>
        <v/>
      </c>
      <c r="E213" s="12">
        <f>IF($A213="","",INDEX(ref_indicateurs!$M:$M,MATCH($A213,ref_indicateurs!$A:$A,0))&amp;"")</f>
        <v/>
      </c>
      <c r="F213" s="12">
        <f>IF($A213="","",IF(INDEX(ref_indicateurs!$O:$O,MATCH($A213,ref_indicateurs!$A:$A,0))="","",INDEX(ref_indicateurs!$O:$O,MATCH($A213,ref_indicateurs!$A:$A,0))))</f>
        <v/>
      </c>
      <c r="G213" s="13">
        <f>IF($A213="","",SUMIFS(saisie_hebdo!$L:$L,saisie_hebdo!$I:$I,$A213))</f>
        <v/>
      </c>
      <c r="H213" s="13">
        <f>IF($A213="","",SUMIFS(saisie_hebdo!$M:$M,saisie_hebdo!$I:$I,$A213))</f>
        <v/>
      </c>
      <c r="I213" s="14">
        <f>IF(OR($A213="",L213=0),"",IF(D213="Pourcentage",IF(H213&gt;0,G213/H213*100,""),G213))</f>
        <v/>
      </c>
      <c r="J213" s="15">
        <f>IF(OR(I213="",F213="",F213=0),"",I213/F213)</f>
        <v/>
      </c>
      <c r="K213" s="12">
        <f>IF(OR($A213="",L213=0),"",IF(_xlfn.MAXIFS(saisie_hebdo!$C:$C,saisie_hebdo!$I:$I,$A213)=0,"",_xlfn.MAXIFS(saisie_hebdo!$C:$C,saisie_hebdo!$I:$I,$A213)))</f>
        <v/>
      </c>
      <c r="L213" s="12">
        <f>IF($A213="","",COUNTIFS(saisie_hebdo!$I:$I,$A213))</f>
        <v/>
      </c>
      <c r="M213" s="12">
        <f>IF($A213="","",IF(L213=0,"Non rapporté",IF(F213="","Suivi sans cible",IF(D213="Pourcentage",IF(I213&gt;=F213,"Cible atteinte","Sous la cible"),IF(J213&gt;=1,"Cible atteinte","En cours")))))</f>
        <v/>
      </c>
    </row>
    <row r="214">
      <c r="A214" s="12">
        <f>IFERROR(INDEX(ref_indicateurs!$A:$A,211)&amp;"","")</f>
        <v/>
      </c>
      <c r="B214" s="12">
        <f>IF($A214="","",INDEX(ref_indicateurs!$B:$B,MATCH($A214,ref_indicateurs!$A:$A,0))&amp;"")</f>
        <v/>
      </c>
      <c r="C214" s="12">
        <f>IF($A214="","",INDEX(ref_indicateurs!$C:$C,MATCH($A214,ref_indicateurs!$A:$A,0))&amp;"")</f>
        <v/>
      </c>
      <c r="D214" s="12">
        <f>IF($A214="","",INDEX(ref_indicateurs!$E:$E,MATCH($A214,ref_indicateurs!$A:$A,0))&amp;"")</f>
        <v/>
      </c>
      <c r="E214" s="12">
        <f>IF($A214="","",INDEX(ref_indicateurs!$M:$M,MATCH($A214,ref_indicateurs!$A:$A,0))&amp;"")</f>
        <v/>
      </c>
      <c r="F214" s="12">
        <f>IF($A214="","",IF(INDEX(ref_indicateurs!$O:$O,MATCH($A214,ref_indicateurs!$A:$A,0))="","",INDEX(ref_indicateurs!$O:$O,MATCH($A214,ref_indicateurs!$A:$A,0))))</f>
        <v/>
      </c>
      <c r="G214" s="13">
        <f>IF($A214="","",SUMIFS(saisie_hebdo!$L:$L,saisie_hebdo!$I:$I,$A214))</f>
        <v/>
      </c>
      <c r="H214" s="13">
        <f>IF($A214="","",SUMIFS(saisie_hebdo!$M:$M,saisie_hebdo!$I:$I,$A214))</f>
        <v/>
      </c>
      <c r="I214" s="14">
        <f>IF(OR($A214="",L214=0),"",IF(D214="Pourcentage",IF(H214&gt;0,G214/H214*100,""),G214))</f>
        <v/>
      </c>
      <c r="J214" s="15">
        <f>IF(OR(I214="",F214="",F214=0),"",I214/F214)</f>
        <v/>
      </c>
      <c r="K214" s="12">
        <f>IF(OR($A214="",L214=0),"",IF(_xlfn.MAXIFS(saisie_hebdo!$C:$C,saisie_hebdo!$I:$I,$A214)=0,"",_xlfn.MAXIFS(saisie_hebdo!$C:$C,saisie_hebdo!$I:$I,$A214)))</f>
        <v/>
      </c>
      <c r="L214" s="12">
        <f>IF($A214="","",COUNTIFS(saisie_hebdo!$I:$I,$A214))</f>
        <v/>
      </c>
      <c r="M214" s="12">
        <f>IF($A214="","",IF(L214=0,"Non rapporté",IF(F214="","Suivi sans cible",IF(D214="Pourcentage",IF(I214&gt;=F214,"Cible atteinte","Sous la cible"),IF(J214&gt;=1,"Cible atteinte","En cours")))))</f>
        <v/>
      </c>
    </row>
    <row r="215">
      <c r="A215" s="12">
        <f>IFERROR(INDEX(ref_indicateurs!$A:$A,212)&amp;"","")</f>
        <v/>
      </c>
      <c r="B215" s="12">
        <f>IF($A215="","",INDEX(ref_indicateurs!$B:$B,MATCH($A215,ref_indicateurs!$A:$A,0))&amp;"")</f>
        <v/>
      </c>
      <c r="C215" s="12">
        <f>IF($A215="","",INDEX(ref_indicateurs!$C:$C,MATCH($A215,ref_indicateurs!$A:$A,0))&amp;"")</f>
        <v/>
      </c>
      <c r="D215" s="12">
        <f>IF($A215="","",INDEX(ref_indicateurs!$E:$E,MATCH($A215,ref_indicateurs!$A:$A,0))&amp;"")</f>
        <v/>
      </c>
      <c r="E215" s="12">
        <f>IF($A215="","",INDEX(ref_indicateurs!$M:$M,MATCH($A215,ref_indicateurs!$A:$A,0))&amp;"")</f>
        <v/>
      </c>
      <c r="F215" s="12">
        <f>IF($A215="","",IF(INDEX(ref_indicateurs!$O:$O,MATCH($A215,ref_indicateurs!$A:$A,0))="","",INDEX(ref_indicateurs!$O:$O,MATCH($A215,ref_indicateurs!$A:$A,0))))</f>
        <v/>
      </c>
      <c r="G215" s="13">
        <f>IF($A215="","",SUMIFS(saisie_hebdo!$L:$L,saisie_hebdo!$I:$I,$A215))</f>
        <v/>
      </c>
      <c r="H215" s="13">
        <f>IF($A215="","",SUMIFS(saisie_hebdo!$M:$M,saisie_hebdo!$I:$I,$A215))</f>
        <v/>
      </c>
      <c r="I215" s="14">
        <f>IF(OR($A215="",L215=0),"",IF(D215="Pourcentage",IF(H215&gt;0,G215/H215*100,""),G215))</f>
        <v/>
      </c>
      <c r="J215" s="15">
        <f>IF(OR(I215="",F215="",F215=0),"",I215/F215)</f>
        <v/>
      </c>
      <c r="K215" s="12">
        <f>IF(OR($A215="",L215=0),"",IF(_xlfn.MAXIFS(saisie_hebdo!$C:$C,saisie_hebdo!$I:$I,$A215)=0,"",_xlfn.MAXIFS(saisie_hebdo!$C:$C,saisie_hebdo!$I:$I,$A215)))</f>
        <v/>
      </c>
      <c r="L215" s="12">
        <f>IF($A215="","",COUNTIFS(saisie_hebdo!$I:$I,$A215))</f>
        <v/>
      </c>
      <c r="M215" s="12">
        <f>IF($A215="","",IF(L215=0,"Non rapporté",IF(F215="","Suivi sans cible",IF(D215="Pourcentage",IF(I215&gt;=F215,"Cible atteinte","Sous la cible"),IF(J215&gt;=1,"Cible atteinte","En cours")))))</f>
        <v/>
      </c>
    </row>
    <row r="216">
      <c r="A216" s="12">
        <f>IFERROR(INDEX(ref_indicateurs!$A:$A,213)&amp;"","")</f>
        <v/>
      </c>
      <c r="B216" s="12">
        <f>IF($A216="","",INDEX(ref_indicateurs!$B:$B,MATCH($A216,ref_indicateurs!$A:$A,0))&amp;"")</f>
        <v/>
      </c>
      <c r="C216" s="12">
        <f>IF($A216="","",INDEX(ref_indicateurs!$C:$C,MATCH($A216,ref_indicateurs!$A:$A,0))&amp;"")</f>
        <v/>
      </c>
      <c r="D216" s="12">
        <f>IF($A216="","",INDEX(ref_indicateurs!$E:$E,MATCH($A216,ref_indicateurs!$A:$A,0))&amp;"")</f>
        <v/>
      </c>
      <c r="E216" s="12">
        <f>IF($A216="","",INDEX(ref_indicateurs!$M:$M,MATCH($A216,ref_indicateurs!$A:$A,0))&amp;"")</f>
        <v/>
      </c>
      <c r="F216" s="12">
        <f>IF($A216="","",IF(INDEX(ref_indicateurs!$O:$O,MATCH($A216,ref_indicateurs!$A:$A,0))="","",INDEX(ref_indicateurs!$O:$O,MATCH($A216,ref_indicateurs!$A:$A,0))))</f>
        <v/>
      </c>
      <c r="G216" s="13">
        <f>IF($A216="","",SUMIFS(saisie_hebdo!$L:$L,saisie_hebdo!$I:$I,$A216))</f>
        <v/>
      </c>
      <c r="H216" s="13">
        <f>IF($A216="","",SUMIFS(saisie_hebdo!$M:$M,saisie_hebdo!$I:$I,$A216))</f>
        <v/>
      </c>
      <c r="I216" s="14">
        <f>IF(OR($A216="",L216=0),"",IF(D216="Pourcentage",IF(H216&gt;0,G216/H216*100,""),G216))</f>
        <v/>
      </c>
      <c r="J216" s="15">
        <f>IF(OR(I216="",F216="",F216=0),"",I216/F216)</f>
        <v/>
      </c>
      <c r="K216" s="12">
        <f>IF(OR($A216="",L216=0),"",IF(_xlfn.MAXIFS(saisie_hebdo!$C:$C,saisie_hebdo!$I:$I,$A216)=0,"",_xlfn.MAXIFS(saisie_hebdo!$C:$C,saisie_hebdo!$I:$I,$A216)))</f>
        <v/>
      </c>
      <c r="L216" s="12">
        <f>IF($A216="","",COUNTIFS(saisie_hebdo!$I:$I,$A216))</f>
        <v/>
      </c>
      <c r="M216" s="12">
        <f>IF($A216="","",IF(L216=0,"Non rapporté",IF(F216="","Suivi sans cible",IF(D216="Pourcentage",IF(I216&gt;=F216,"Cible atteinte","Sous la cible"),IF(J216&gt;=1,"Cible atteinte","En cours")))))</f>
        <v/>
      </c>
    </row>
    <row r="217">
      <c r="A217" s="12">
        <f>IFERROR(INDEX(ref_indicateurs!$A:$A,214)&amp;"","")</f>
        <v/>
      </c>
      <c r="B217" s="12">
        <f>IF($A217="","",INDEX(ref_indicateurs!$B:$B,MATCH($A217,ref_indicateurs!$A:$A,0))&amp;"")</f>
        <v/>
      </c>
      <c r="C217" s="12">
        <f>IF($A217="","",INDEX(ref_indicateurs!$C:$C,MATCH($A217,ref_indicateurs!$A:$A,0))&amp;"")</f>
        <v/>
      </c>
      <c r="D217" s="12">
        <f>IF($A217="","",INDEX(ref_indicateurs!$E:$E,MATCH($A217,ref_indicateurs!$A:$A,0))&amp;"")</f>
        <v/>
      </c>
      <c r="E217" s="12">
        <f>IF($A217="","",INDEX(ref_indicateurs!$M:$M,MATCH($A217,ref_indicateurs!$A:$A,0))&amp;"")</f>
        <v/>
      </c>
      <c r="F217" s="12">
        <f>IF($A217="","",IF(INDEX(ref_indicateurs!$O:$O,MATCH($A217,ref_indicateurs!$A:$A,0))="","",INDEX(ref_indicateurs!$O:$O,MATCH($A217,ref_indicateurs!$A:$A,0))))</f>
        <v/>
      </c>
      <c r="G217" s="13">
        <f>IF($A217="","",SUMIFS(saisie_hebdo!$L:$L,saisie_hebdo!$I:$I,$A217))</f>
        <v/>
      </c>
      <c r="H217" s="13">
        <f>IF($A217="","",SUMIFS(saisie_hebdo!$M:$M,saisie_hebdo!$I:$I,$A217))</f>
        <v/>
      </c>
      <c r="I217" s="14">
        <f>IF(OR($A217="",L217=0),"",IF(D217="Pourcentage",IF(H217&gt;0,G217/H217*100,""),G217))</f>
        <v/>
      </c>
      <c r="J217" s="15">
        <f>IF(OR(I217="",F217="",F217=0),"",I217/F217)</f>
        <v/>
      </c>
      <c r="K217" s="12">
        <f>IF(OR($A217="",L217=0),"",IF(_xlfn.MAXIFS(saisie_hebdo!$C:$C,saisie_hebdo!$I:$I,$A217)=0,"",_xlfn.MAXIFS(saisie_hebdo!$C:$C,saisie_hebdo!$I:$I,$A217)))</f>
        <v/>
      </c>
      <c r="L217" s="12">
        <f>IF($A217="","",COUNTIFS(saisie_hebdo!$I:$I,$A217))</f>
        <v/>
      </c>
      <c r="M217" s="12">
        <f>IF($A217="","",IF(L217=0,"Non rapporté",IF(F217="","Suivi sans cible",IF(D217="Pourcentage",IF(I217&gt;=F217,"Cible atteinte","Sous la cible"),IF(J217&gt;=1,"Cible atteinte","En cours")))))</f>
        <v/>
      </c>
    </row>
    <row r="218">
      <c r="A218" s="12">
        <f>IFERROR(INDEX(ref_indicateurs!$A:$A,215)&amp;"","")</f>
        <v/>
      </c>
      <c r="B218" s="12">
        <f>IF($A218="","",INDEX(ref_indicateurs!$B:$B,MATCH($A218,ref_indicateurs!$A:$A,0))&amp;"")</f>
        <v/>
      </c>
      <c r="C218" s="12">
        <f>IF($A218="","",INDEX(ref_indicateurs!$C:$C,MATCH($A218,ref_indicateurs!$A:$A,0))&amp;"")</f>
        <v/>
      </c>
      <c r="D218" s="12">
        <f>IF($A218="","",INDEX(ref_indicateurs!$E:$E,MATCH($A218,ref_indicateurs!$A:$A,0))&amp;"")</f>
        <v/>
      </c>
      <c r="E218" s="12">
        <f>IF($A218="","",INDEX(ref_indicateurs!$M:$M,MATCH($A218,ref_indicateurs!$A:$A,0))&amp;"")</f>
        <v/>
      </c>
      <c r="F218" s="12">
        <f>IF($A218="","",IF(INDEX(ref_indicateurs!$O:$O,MATCH($A218,ref_indicateurs!$A:$A,0))="","",INDEX(ref_indicateurs!$O:$O,MATCH($A218,ref_indicateurs!$A:$A,0))))</f>
        <v/>
      </c>
      <c r="G218" s="13">
        <f>IF($A218="","",SUMIFS(saisie_hebdo!$L:$L,saisie_hebdo!$I:$I,$A218))</f>
        <v/>
      </c>
      <c r="H218" s="13">
        <f>IF($A218="","",SUMIFS(saisie_hebdo!$M:$M,saisie_hebdo!$I:$I,$A218))</f>
        <v/>
      </c>
      <c r="I218" s="14">
        <f>IF(OR($A218="",L218=0),"",IF(D218="Pourcentage",IF(H218&gt;0,G218/H218*100,""),G218))</f>
        <v/>
      </c>
      <c r="J218" s="15">
        <f>IF(OR(I218="",F218="",F218=0),"",I218/F218)</f>
        <v/>
      </c>
      <c r="K218" s="12">
        <f>IF(OR($A218="",L218=0),"",IF(_xlfn.MAXIFS(saisie_hebdo!$C:$C,saisie_hebdo!$I:$I,$A218)=0,"",_xlfn.MAXIFS(saisie_hebdo!$C:$C,saisie_hebdo!$I:$I,$A218)))</f>
        <v/>
      </c>
      <c r="L218" s="12">
        <f>IF($A218="","",COUNTIFS(saisie_hebdo!$I:$I,$A218))</f>
        <v/>
      </c>
      <c r="M218" s="12">
        <f>IF($A218="","",IF(L218=0,"Non rapporté",IF(F218="","Suivi sans cible",IF(D218="Pourcentage",IF(I218&gt;=F218,"Cible atteinte","Sous la cible"),IF(J218&gt;=1,"Cible atteinte","En cours")))))</f>
        <v/>
      </c>
    </row>
    <row r="219">
      <c r="A219" s="12">
        <f>IFERROR(INDEX(ref_indicateurs!$A:$A,216)&amp;"","")</f>
        <v/>
      </c>
      <c r="B219" s="12">
        <f>IF($A219="","",INDEX(ref_indicateurs!$B:$B,MATCH($A219,ref_indicateurs!$A:$A,0))&amp;"")</f>
        <v/>
      </c>
      <c r="C219" s="12">
        <f>IF($A219="","",INDEX(ref_indicateurs!$C:$C,MATCH($A219,ref_indicateurs!$A:$A,0))&amp;"")</f>
        <v/>
      </c>
      <c r="D219" s="12">
        <f>IF($A219="","",INDEX(ref_indicateurs!$E:$E,MATCH($A219,ref_indicateurs!$A:$A,0))&amp;"")</f>
        <v/>
      </c>
      <c r="E219" s="12">
        <f>IF($A219="","",INDEX(ref_indicateurs!$M:$M,MATCH($A219,ref_indicateurs!$A:$A,0))&amp;"")</f>
        <v/>
      </c>
      <c r="F219" s="12">
        <f>IF($A219="","",IF(INDEX(ref_indicateurs!$O:$O,MATCH($A219,ref_indicateurs!$A:$A,0))="","",INDEX(ref_indicateurs!$O:$O,MATCH($A219,ref_indicateurs!$A:$A,0))))</f>
        <v/>
      </c>
      <c r="G219" s="13">
        <f>IF($A219="","",SUMIFS(saisie_hebdo!$L:$L,saisie_hebdo!$I:$I,$A219))</f>
        <v/>
      </c>
      <c r="H219" s="13">
        <f>IF($A219="","",SUMIFS(saisie_hebdo!$M:$M,saisie_hebdo!$I:$I,$A219))</f>
        <v/>
      </c>
      <c r="I219" s="14">
        <f>IF(OR($A219="",L219=0),"",IF(D219="Pourcentage",IF(H219&gt;0,G219/H219*100,""),G219))</f>
        <v/>
      </c>
      <c r="J219" s="15">
        <f>IF(OR(I219="",F219="",F219=0),"",I219/F219)</f>
        <v/>
      </c>
      <c r="K219" s="12">
        <f>IF(OR($A219="",L219=0),"",IF(_xlfn.MAXIFS(saisie_hebdo!$C:$C,saisie_hebdo!$I:$I,$A219)=0,"",_xlfn.MAXIFS(saisie_hebdo!$C:$C,saisie_hebdo!$I:$I,$A219)))</f>
        <v/>
      </c>
      <c r="L219" s="12">
        <f>IF($A219="","",COUNTIFS(saisie_hebdo!$I:$I,$A219))</f>
        <v/>
      </c>
      <c r="M219" s="12">
        <f>IF($A219="","",IF(L219=0,"Non rapporté",IF(F219="","Suivi sans cible",IF(D219="Pourcentage",IF(I219&gt;=F219,"Cible atteinte","Sous la cible"),IF(J219&gt;=1,"Cible atteinte","En cours")))))</f>
        <v/>
      </c>
    </row>
    <row r="220">
      <c r="A220" s="12">
        <f>IFERROR(INDEX(ref_indicateurs!$A:$A,217)&amp;"","")</f>
        <v/>
      </c>
      <c r="B220" s="12">
        <f>IF($A220="","",INDEX(ref_indicateurs!$B:$B,MATCH($A220,ref_indicateurs!$A:$A,0))&amp;"")</f>
        <v/>
      </c>
      <c r="C220" s="12">
        <f>IF($A220="","",INDEX(ref_indicateurs!$C:$C,MATCH($A220,ref_indicateurs!$A:$A,0))&amp;"")</f>
        <v/>
      </c>
      <c r="D220" s="12">
        <f>IF($A220="","",INDEX(ref_indicateurs!$E:$E,MATCH($A220,ref_indicateurs!$A:$A,0))&amp;"")</f>
        <v/>
      </c>
      <c r="E220" s="12">
        <f>IF($A220="","",INDEX(ref_indicateurs!$M:$M,MATCH($A220,ref_indicateurs!$A:$A,0))&amp;"")</f>
        <v/>
      </c>
      <c r="F220" s="12">
        <f>IF($A220="","",IF(INDEX(ref_indicateurs!$O:$O,MATCH($A220,ref_indicateurs!$A:$A,0))="","",INDEX(ref_indicateurs!$O:$O,MATCH($A220,ref_indicateurs!$A:$A,0))))</f>
        <v/>
      </c>
      <c r="G220" s="13">
        <f>IF($A220="","",SUMIFS(saisie_hebdo!$L:$L,saisie_hebdo!$I:$I,$A220))</f>
        <v/>
      </c>
      <c r="H220" s="13">
        <f>IF($A220="","",SUMIFS(saisie_hebdo!$M:$M,saisie_hebdo!$I:$I,$A220))</f>
        <v/>
      </c>
      <c r="I220" s="14">
        <f>IF(OR($A220="",L220=0),"",IF(D220="Pourcentage",IF(H220&gt;0,G220/H220*100,""),G220))</f>
        <v/>
      </c>
      <c r="J220" s="15">
        <f>IF(OR(I220="",F220="",F220=0),"",I220/F220)</f>
        <v/>
      </c>
      <c r="K220" s="12">
        <f>IF(OR($A220="",L220=0),"",IF(_xlfn.MAXIFS(saisie_hebdo!$C:$C,saisie_hebdo!$I:$I,$A220)=0,"",_xlfn.MAXIFS(saisie_hebdo!$C:$C,saisie_hebdo!$I:$I,$A220)))</f>
        <v/>
      </c>
      <c r="L220" s="12">
        <f>IF($A220="","",COUNTIFS(saisie_hebdo!$I:$I,$A220))</f>
        <v/>
      </c>
      <c r="M220" s="12">
        <f>IF($A220="","",IF(L220=0,"Non rapporté",IF(F220="","Suivi sans cible",IF(D220="Pourcentage",IF(I220&gt;=F220,"Cible atteinte","Sous la cible"),IF(J220&gt;=1,"Cible atteinte","En cours")))))</f>
        <v/>
      </c>
    </row>
    <row r="221">
      <c r="A221" s="12">
        <f>IFERROR(INDEX(ref_indicateurs!$A:$A,218)&amp;"","")</f>
        <v/>
      </c>
      <c r="B221" s="12">
        <f>IF($A221="","",INDEX(ref_indicateurs!$B:$B,MATCH($A221,ref_indicateurs!$A:$A,0))&amp;"")</f>
        <v/>
      </c>
      <c r="C221" s="12">
        <f>IF($A221="","",INDEX(ref_indicateurs!$C:$C,MATCH($A221,ref_indicateurs!$A:$A,0))&amp;"")</f>
        <v/>
      </c>
      <c r="D221" s="12">
        <f>IF($A221="","",INDEX(ref_indicateurs!$E:$E,MATCH($A221,ref_indicateurs!$A:$A,0))&amp;"")</f>
        <v/>
      </c>
      <c r="E221" s="12">
        <f>IF($A221="","",INDEX(ref_indicateurs!$M:$M,MATCH($A221,ref_indicateurs!$A:$A,0))&amp;"")</f>
        <v/>
      </c>
      <c r="F221" s="12">
        <f>IF($A221="","",IF(INDEX(ref_indicateurs!$O:$O,MATCH($A221,ref_indicateurs!$A:$A,0))="","",INDEX(ref_indicateurs!$O:$O,MATCH($A221,ref_indicateurs!$A:$A,0))))</f>
        <v/>
      </c>
      <c r="G221" s="13">
        <f>IF($A221="","",SUMIFS(saisie_hebdo!$L:$L,saisie_hebdo!$I:$I,$A221))</f>
        <v/>
      </c>
      <c r="H221" s="13">
        <f>IF($A221="","",SUMIFS(saisie_hebdo!$M:$M,saisie_hebdo!$I:$I,$A221))</f>
        <v/>
      </c>
      <c r="I221" s="14">
        <f>IF(OR($A221="",L221=0),"",IF(D221="Pourcentage",IF(H221&gt;0,G221/H221*100,""),G221))</f>
        <v/>
      </c>
      <c r="J221" s="15">
        <f>IF(OR(I221="",F221="",F221=0),"",I221/F221)</f>
        <v/>
      </c>
      <c r="K221" s="12">
        <f>IF(OR($A221="",L221=0),"",IF(_xlfn.MAXIFS(saisie_hebdo!$C:$C,saisie_hebdo!$I:$I,$A221)=0,"",_xlfn.MAXIFS(saisie_hebdo!$C:$C,saisie_hebdo!$I:$I,$A221)))</f>
        <v/>
      </c>
      <c r="L221" s="12">
        <f>IF($A221="","",COUNTIFS(saisie_hebdo!$I:$I,$A221))</f>
        <v/>
      </c>
      <c r="M221" s="12">
        <f>IF($A221="","",IF(L221=0,"Non rapporté",IF(F221="","Suivi sans cible",IF(D221="Pourcentage",IF(I221&gt;=F221,"Cible atteinte","Sous la cible"),IF(J221&gt;=1,"Cible atteinte","En cours")))))</f>
        <v/>
      </c>
    </row>
    <row r="222">
      <c r="A222" s="12">
        <f>IFERROR(INDEX(ref_indicateurs!$A:$A,219)&amp;"","")</f>
        <v/>
      </c>
      <c r="B222" s="12">
        <f>IF($A222="","",INDEX(ref_indicateurs!$B:$B,MATCH($A222,ref_indicateurs!$A:$A,0))&amp;"")</f>
        <v/>
      </c>
      <c r="C222" s="12">
        <f>IF($A222="","",INDEX(ref_indicateurs!$C:$C,MATCH($A222,ref_indicateurs!$A:$A,0))&amp;"")</f>
        <v/>
      </c>
      <c r="D222" s="12">
        <f>IF($A222="","",INDEX(ref_indicateurs!$E:$E,MATCH($A222,ref_indicateurs!$A:$A,0))&amp;"")</f>
        <v/>
      </c>
      <c r="E222" s="12">
        <f>IF($A222="","",INDEX(ref_indicateurs!$M:$M,MATCH($A222,ref_indicateurs!$A:$A,0))&amp;"")</f>
        <v/>
      </c>
      <c r="F222" s="12">
        <f>IF($A222="","",IF(INDEX(ref_indicateurs!$O:$O,MATCH($A222,ref_indicateurs!$A:$A,0))="","",INDEX(ref_indicateurs!$O:$O,MATCH($A222,ref_indicateurs!$A:$A,0))))</f>
        <v/>
      </c>
      <c r="G222" s="13">
        <f>IF($A222="","",SUMIFS(saisie_hebdo!$L:$L,saisie_hebdo!$I:$I,$A222))</f>
        <v/>
      </c>
      <c r="H222" s="13">
        <f>IF($A222="","",SUMIFS(saisie_hebdo!$M:$M,saisie_hebdo!$I:$I,$A222))</f>
        <v/>
      </c>
      <c r="I222" s="14">
        <f>IF(OR($A222="",L222=0),"",IF(D222="Pourcentage",IF(H222&gt;0,G222/H222*100,""),G222))</f>
        <v/>
      </c>
      <c r="J222" s="15">
        <f>IF(OR(I222="",F222="",F222=0),"",I222/F222)</f>
        <v/>
      </c>
      <c r="K222" s="12">
        <f>IF(OR($A222="",L222=0),"",IF(_xlfn.MAXIFS(saisie_hebdo!$C:$C,saisie_hebdo!$I:$I,$A222)=0,"",_xlfn.MAXIFS(saisie_hebdo!$C:$C,saisie_hebdo!$I:$I,$A222)))</f>
        <v/>
      </c>
      <c r="L222" s="12">
        <f>IF($A222="","",COUNTIFS(saisie_hebdo!$I:$I,$A222))</f>
        <v/>
      </c>
      <c r="M222" s="12">
        <f>IF($A222="","",IF(L222=0,"Non rapporté",IF(F222="","Suivi sans cible",IF(D222="Pourcentage",IF(I222&gt;=F222,"Cible atteinte","Sous la cible"),IF(J222&gt;=1,"Cible atteinte","En cours")))))</f>
        <v/>
      </c>
    </row>
    <row r="223">
      <c r="A223" s="12">
        <f>IFERROR(INDEX(ref_indicateurs!$A:$A,220)&amp;"","")</f>
        <v/>
      </c>
      <c r="B223" s="12">
        <f>IF($A223="","",INDEX(ref_indicateurs!$B:$B,MATCH($A223,ref_indicateurs!$A:$A,0))&amp;"")</f>
        <v/>
      </c>
      <c r="C223" s="12">
        <f>IF($A223="","",INDEX(ref_indicateurs!$C:$C,MATCH($A223,ref_indicateurs!$A:$A,0))&amp;"")</f>
        <v/>
      </c>
      <c r="D223" s="12">
        <f>IF($A223="","",INDEX(ref_indicateurs!$E:$E,MATCH($A223,ref_indicateurs!$A:$A,0))&amp;"")</f>
        <v/>
      </c>
      <c r="E223" s="12">
        <f>IF($A223="","",INDEX(ref_indicateurs!$M:$M,MATCH($A223,ref_indicateurs!$A:$A,0))&amp;"")</f>
        <v/>
      </c>
      <c r="F223" s="12">
        <f>IF($A223="","",IF(INDEX(ref_indicateurs!$O:$O,MATCH($A223,ref_indicateurs!$A:$A,0))="","",INDEX(ref_indicateurs!$O:$O,MATCH($A223,ref_indicateurs!$A:$A,0))))</f>
        <v/>
      </c>
      <c r="G223" s="13">
        <f>IF($A223="","",SUMIFS(saisie_hebdo!$L:$L,saisie_hebdo!$I:$I,$A223))</f>
        <v/>
      </c>
      <c r="H223" s="13">
        <f>IF($A223="","",SUMIFS(saisie_hebdo!$M:$M,saisie_hebdo!$I:$I,$A223))</f>
        <v/>
      </c>
      <c r="I223" s="14">
        <f>IF(OR($A223="",L223=0),"",IF(D223="Pourcentage",IF(H223&gt;0,G223/H223*100,""),G223))</f>
        <v/>
      </c>
      <c r="J223" s="15">
        <f>IF(OR(I223="",F223="",F223=0),"",I223/F223)</f>
        <v/>
      </c>
      <c r="K223" s="12">
        <f>IF(OR($A223="",L223=0),"",IF(_xlfn.MAXIFS(saisie_hebdo!$C:$C,saisie_hebdo!$I:$I,$A223)=0,"",_xlfn.MAXIFS(saisie_hebdo!$C:$C,saisie_hebdo!$I:$I,$A223)))</f>
        <v/>
      </c>
      <c r="L223" s="12">
        <f>IF($A223="","",COUNTIFS(saisie_hebdo!$I:$I,$A223))</f>
        <v/>
      </c>
      <c r="M223" s="12">
        <f>IF($A223="","",IF(L223=0,"Non rapporté",IF(F223="","Suivi sans cible",IF(D223="Pourcentage",IF(I223&gt;=F223,"Cible atteinte","Sous la cible"),IF(J223&gt;=1,"Cible atteinte","En cours")))))</f>
        <v/>
      </c>
    </row>
    <row r="224">
      <c r="A224" s="12">
        <f>IFERROR(INDEX(ref_indicateurs!$A:$A,221)&amp;"","")</f>
        <v/>
      </c>
      <c r="B224" s="12">
        <f>IF($A224="","",INDEX(ref_indicateurs!$B:$B,MATCH($A224,ref_indicateurs!$A:$A,0))&amp;"")</f>
        <v/>
      </c>
      <c r="C224" s="12">
        <f>IF($A224="","",INDEX(ref_indicateurs!$C:$C,MATCH($A224,ref_indicateurs!$A:$A,0))&amp;"")</f>
        <v/>
      </c>
      <c r="D224" s="12">
        <f>IF($A224="","",INDEX(ref_indicateurs!$E:$E,MATCH($A224,ref_indicateurs!$A:$A,0))&amp;"")</f>
        <v/>
      </c>
      <c r="E224" s="12">
        <f>IF($A224="","",INDEX(ref_indicateurs!$M:$M,MATCH($A224,ref_indicateurs!$A:$A,0))&amp;"")</f>
        <v/>
      </c>
      <c r="F224" s="12">
        <f>IF($A224="","",IF(INDEX(ref_indicateurs!$O:$O,MATCH($A224,ref_indicateurs!$A:$A,0))="","",INDEX(ref_indicateurs!$O:$O,MATCH($A224,ref_indicateurs!$A:$A,0))))</f>
        <v/>
      </c>
      <c r="G224" s="13">
        <f>IF($A224="","",SUMIFS(saisie_hebdo!$L:$L,saisie_hebdo!$I:$I,$A224))</f>
        <v/>
      </c>
      <c r="H224" s="13">
        <f>IF($A224="","",SUMIFS(saisie_hebdo!$M:$M,saisie_hebdo!$I:$I,$A224))</f>
        <v/>
      </c>
      <c r="I224" s="14">
        <f>IF(OR($A224="",L224=0),"",IF(D224="Pourcentage",IF(H224&gt;0,G224/H224*100,""),G224))</f>
        <v/>
      </c>
      <c r="J224" s="15">
        <f>IF(OR(I224="",F224="",F224=0),"",I224/F224)</f>
        <v/>
      </c>
      <c r="K224" s="12">
        <f>IF(OR($A224="",L224=0),"",IF(_xlfn.MAXIFS(saisie_hebdo!$C:$C,saisie_hebdo!$I:$I,$A224)=0,"",_xlfn.MAXIFS(saisie_hebdo!$C:$C,saisie_hebdo!$I:$I,$A224)))</f>
        <v/>
      </c>
      <c r="L224" s="12">
        <f>IF($A224="","",COUNTIFS(saisie_hebdo!$I:$I,$A224))</f>
        <v/>
      </c>
      <c r="M224" s="12">
        <f>IF($A224="","",IF(L224=0,"Non rapporté",IF(F224="","Suivi sans cible",IF(D224="Pourcentage",IF(I224&gt;=F224,"Cible atteinte","Sous la cible"),IF(J224&gt;=1,"Cible atteinte","En cours")))))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2C200"/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4" customWidth="1" min="4" max="4"/>
    <col width="12" customWidth="1" min="5" max="5"/>
    <col width="12" customWidth="1" min="6" max="6"/>
    <col width="12" customWidth="1" min="7" max="7"/>
    <col width="14" customWidth="1" min="8" max="8"/>
    <col width="17" customWidth="1" min="9" max="9"/>
    <col width="22" customWidth="1" min="10" max="10"/>
    <col width="17" customWidth="1" min="11" max="11"/>
    <col width="14" customWidth="1" min="12" max="12"/>
    <col width="16" customWidth="1" min="13" max="13"/>
    <col width="12" customWidth="1" min="14" max="14"/>
    <col width="17" customWidth="1" min="15" max="15"/>
    <col width="13" customWidth="1" min="16" max="16"/>
    <col width="15" customWidth="1" min="17" max="17"/>
    <col width="48" customWidth="1" min="18" max="18"/>
  </cols>
  <sheetData>
    <row r="1" ht="30" customHeight="1">
      <c r="A1" s="11" t="inlineStr">
        <is>
          <t>annee</t>
        </is>
      </c>
      <c r="B1" s="11" t="inlineStr">
        <is>
          <t>periode</t>
        </is>
      </c>
      <c r="C1" s="11" t="inlineStr">
        <is>
          <t>semaine_iso</t>
        </is>
      </c>
      <c r="D1" s="11" t="inlineStr">
        <is>
          <t>date_debut</t>
        </is>
      </c>
      <c r="E1" s="11" t="inlineStr">
        <is>
          <t>date_fin</t>
        </is>
      </c>
      <c r="F1" s="11" t="inlineStr">
        <is>
          <t>ip</t>
        </is>
      </c>
      <c r="G1" s="11" t="inlineStr">
        <is>
          <t>province</t>
        </is>
      </c>
      <c r="H1" s="11" t="inlineStr">
        <is>
          <t>zone_sante</t>
        </is>
      </c>
      <c r="I1" s="11" t="inlineStr">
        <is>
          <t>id_indicateur</t>
        </is>
      </c>
      <c r="J1" s="11" t="inlineStr">
        <is>
          <t>libelle_indicateur</t>
        </is>
      </c>
      <c r="K1" s="11" t="inlineStr">
        <is>
          <t>desagregation</t>
        </is>
      </c>
      <c r="L1" s="11" t="inlineStr">
        <is>
          <t>numerateur</t>
        </is>
      </c>
      <c r="M1" s="11" t="inlineStr">
        <is>
          <t>denominateur</t>
        </is>
      </c>
      <c r="N1" s="11" t="inlineStr">
        <is>
          <t>valeur</t>
        </is>
      </c>
      <c r="O1" s="11" t="inlineStr">
        <is>
          <t>source_saisie</t>
        </is>
      </c>
      <c r="P1" s="11" t="inlineStr">
        <is>
          <t>saisi_par</t>
        </is>
      </c>
      <c r="Q1" s="11" t="inlineStr">
        <is>
          <t>date_saisie</t>
        </is>
      </c>
      <c r="R1" s="11" t="inlineStr">
        <is>
          <t>commentaire</t>
        </is>
      </c>
    </row>
    <row r="2">
      <c r="A2" s="16" t="n">
        <v>2026</v>
      </c>
      <c r="B2" s="16" t="inlineStr">
        <is>
          <t>S41</t>
        </is>
      </c>
      <c r="C2" s="16" t="n">
        <v>41</v>
      </c>
      <c r="D2" s="17" t="n">
        <v>46300</v>
      </c>
      <c r="E2" s="17" t="n">
        <v>46306</v>
      </c>
      <c r="F2" s="16" t="inlineStr">
        <is>
          <t>ADRA</t>
        </is>
      </c>
      <c r="G2" s="16" t="inlineStr">
        <is>
          <t>Ituri</t>
        </is>
      </c>
      <c r="H2" s="16" t="inlineStr">
        <is>
          <t>Rwampara</t>
        </is>
      </c>
      <c r="I2" s="16" t="inlineStr">
        <is>
          <t>SURV-02</t>
        </is>
      </c>
      <c r="J2" s="16" t="inlineStr">
        <is>
          <t>Contacts suivis chaque jour pendant les 21 jours</t>
        </is>
      </c>
      <c r="K2" s="16" t="inlineStr"/>
      <c r="L2" s="16" t="n">
        <v>1830</v>
      </c>
      <c r="M2" s="16" t="n">
        <v>2010</v>
      </c>
      <c r="N2" s="18">
        <f>IF(M2="",L2,IF(M2=0,"",L2/M2*100))</f>
        <v/>
      </c>
      <c r="O2" s="16" t="inlineStr">
        <is>
          <t>ODK</t>
        </is>
      </c>
      <c r="P2" s="16" t="inlineStr">
        <is>
          <t>Nom du point focal</t>
        </is>
      </c>
      <c r="Q2" s="17" t="n">
        <v>46306</v>
      </c>
      <c r="R2" s="16" t="inlineStr">
        <is>
          <t>Ligne d'exemple : à supprimer</t>
        </is>
      </c>
    </row>
  </sheetData>
  <dataValidations count="11">
    <dataValidation sqref="A2:A5000" showDropDown="0" showInputMessage="0" showErrorMessage="1" allowBlank="1" error="Nombre entier positif ou nul." type="whole" operator="greaterThanOrEqual">
      <formula1>0</formula1>
    </dataValidation>
    <dataValidation sqref="C2:C5000" showDropDown="0" showInputMessage="0" showErrorMessage="1" allowBlank="1" error="Nombre entier positif ou nul." type="whole" operator="greaterThanOrEqual">
      <formula1>0</formula1>
    </dataValidation>
    <dataValidation sqref="D2:D5000" showDropDown="0" showInputMessage="0" showErrorMessage="1" allowBlank="1" error="Date au format JJ/MM/AAAA." type="date" operator="between">
      <formula1>DATE(2026,1,1)</formula1>
      <formula2>DATE(2030,12,31)</formula2>
    </dataValidation>
    <dataValidation sqref="E2:E5000" showDropDown="0" showInputMessage="0" showErrorMessage="1" allowBlank="1" error="Date au format JJ/MM/AAAA." type="date" operator="between">
      <formula1>DATE(2026,1,1)</formula1>
      <formula2>DATE(2030,12,31)</formula2>
    </dataValidation>
    <dataValidation sqref="F2:F5000" showDropDown="0" showInputMessage="0" showErrorMessage="1" allowBlank="1" errorTitle="Valeur non autorisée" error="Choisir une valeur dans la liste (feuille « listes »)." type="list">
      <formula1>=listes!$B$2:$B$6</formula1>
    </dataValidation>
    <dataValidation sqref="G2:G5000" showDropDown="0" showInputMessage="0" showErrorMessage="1" allowBlank="1" errorTitle="Valeur non autorisée" error="Choisir une valeur dans la liste (feuille « listes »)." type="list">
      <formula1>=listes!$A$2:$A$8</formula1>
    </dataValidation>
    <dataValidation sqref="H2:H5000" showDropDown="0" showInputMessage="0" showErrorMessage="0" allowBlank="1" type="list">
      <formula1>=ref_zones!$B$2:$B$600</formula1>
    </dataValidation>
    <dataValidation sqref="I2:I5000" showDropDown="0" showInputMessage="0" showErrorMessage="1" allowBlank="0" error="Identifiant absent de la matrice maîtresse." type="list">
      <formula1>=ref_indicateurs!$A$2:$A$400</formula1>
    </dataValidation>
    <dataValidation sqref="L2:L5000" showDropDown="0" showInputMessage="0" showErrorMessage="1" allowBlank="1" error="Nombre positif ou nul." type="decimal" operator="greaterThanOrEqual">
      <formula1>0</formula1>
    </dataValidation>
    <dataValidation sqref="M2:M5000" showDropDown="0" showInputMessage="0" showErrorMessage="1" allowBlank="1" error="Nombre positif ou nul." type="decimal" operator="greaterThanOrEqual">
      <formula1>0</formula1>
    </dataValidation>
    <dataValidation sqref="Q2:Q5000" showDropDown="0" showInputMessage="0" showErrorMessage="1" allowBlank="1" error="Date au format JJ/MM/AAAA." type="date" operator="between">
      <formula1>DATE(2026,1,1)</formula1>
      <formula2>DATE(2030,12,31)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F2C200"/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  <col width="20" customWidth="1" min="6" max="6"/>
    <col width="13" customWidth="1" min="7" max="7"/>
    <col width="22" customWidth="1" min="8" max="8"/>
    <col width="24" customWidth="1" min="9" max="9"/>
    <col width="21" customWidth="1" min="10" max="10"/>
    <col width="22" customWidth="1" min="11" max="11"/>
    <col width="12" customWidth="1" min="12" max="12"/>
    <col width="16" customWidth="1" min="13" max="13"/>
    <col width="25" customWidth="1" min="14" max="14"/>
    <col width="23" customWidth="1" min="15" max="15"/>
    <col width="14" customWidth="1" min="16" max="16"/>
    <col width="22" customWidth="1" min="17" max="17"/>
    <col width="29" customWidth="1" min="18" max="18"/>
    <col width="18" customWidth="1" min="19" max="19"/>
    <col width="12" customWidth="1" min="20" max="20"/>
    <col width="18" customWidth="1" min="21" max="21"/>
    <col width="18" customWidth="1" min="22" max="22"/>
    <col width="19" customWidth="1" min="23" max="23"/>
    <col width="17" customWidth="1" min="24" max="24"/>
    <col width="33" customWidth="1" min="25" max="25"/>
    <col width="31" customWidth="1" min="26" max="26"/>
    <col width="28" customWidth="1" min="27" max="27"/>
    <col width="16" customWidth="1" min="28" max="28"/>
    <col width="24" customWidth="1" min="29" max="29"/>
    <col width="25" customWidth="1" min="30" max="30"/>
    <col width="24" customWidth="1" min="31" max="31"/>
    <col width="27" customWidth="1" min="32" max="32"/>
    <col width="48" customWidth="1" min="33" max="33"/>
  </cols>
  <sheetData>
    <row r="1" ht="30" customHeight="1">
      <c r="A1" s="11" t="inlineStr">
        <is>
          <t>date</t>
        </is>
      </c>
      <c r="B1" s="11" t="inlineStr">
        <is>
          <t>ip</t>
        </is>
      </c>
      <c r="C1" s="11" t="inlineStr">
        <is>
          <t>province</t>
        </is>
      </c>
      <c r="D1" s="11" t="inlineStr">
        <is>
          <t>zone_sante</t>
        </is>
      </c>
      <c r="E1" s="11" t="inlineStr">
        <is>
          <t>aire_sante</t>
        </is>
      </c>
      <c r="F1" s="11" t="inlineStr">
        <is>
          <t>village_quartier</t>
        </is>
      </c>
      <c r="G1" s="11" t="inlineStr">
        <is>
          <t>type_site</t>
        </is>
      </c>
      <c r="H1" s="11" t="inlineStr">
        <is>
          <t>nb_seances_prevues</t>
        </is>
      </c>
      <c r="I1" s="11" t="inlineStr">
        <is>
          <t>nb_seances_realisees</t>
        </is>
      </c>
      <c r="J1" s="11" t="inlineStr">
        <is>
          <t>nb_menages_prevus</t>
        </is>
      </c>
      <c r="K1" s="11" t="inlineStr">
        <is>
          <t>nb_menages_visites</t>
        </is>
      </c>
      <c r="L1" s="11" t="inlineStr">
        <is>
          <t>nb_vad</t>
        </is>
      </c>
      <c r="M1" s="11" t="inlineStr">
        <is>
          <t>nb_causeries</t>
        </is>
      </c>
      <c r="N1" s="11" t="inlineStr">
        <is>
          <t>nb_ecoute_negociation</t>
        </is>
      </c>
      <c r="O1" s="11" t="inlineStr">
        <is>
          <t>nb_debats_dialogues</t>
        </is>
      </c>
      <c r="P1" s="11" t="inlineStr">
        <is>
          <t>nb_sketchs</t>
        </is>
      </c>
      <c r="Q1" s="11" t="inlineStr">
        <is>
          <t>nb_emissions_radio</t>
        </is>
      </c>
      <c r="R1" s="11" t="inlineStr">
        <is>
          <t>nb_emissions_interactives</t>
        </is>
      </c>
      <c r="S1" s="11" t="inlineStr">
        <is>
          <t>nb_spots_radio</t>
        </is>
      </c>
      <c r="T1" s="11" t="inlineStr">
        <is>
          <t>themes</t>
        </is>
      </c>
      <c r="U1" s="11" t="inlineStr">
        <is>
          <t>sensibilises_h</t>
        </is>
      </c>
      <c r="V1" s="11" t="inlineStr">
        <is>
          <t>sensibilises_f</t>
        </is>
      </c>
      <c r="W1" s="11" t="inlineStr">
        <is>
          <t>alertes_malades</t>
        </is>
      </c>
      <c r="X1" s="11" t="inlineStr">
        <is>
          <t>alertes_deces</t>
        </is>
      </c>
      <c r="Y1" s="11" t="inlineStr">
        <is>
          <t>alertes_malades_notifiees_24h</t>
        </is>
      </c>
      <c r="Z1" s="11" t="inlineStr">
        <is>
          <t>alertes_deces_notifiees_24h</t>
        </is>
      </c>
      <c r="AA1" s="11" t="inlineStr">
        <is>
          <t>alertes_investiguees_24h</t>
        </is>
      </c>
      <c r="AB1" s="11" t="inlineStr">
        <is>
          <t>nb_visiteurs</t>
        </is>
      </c>
      <c r="AC1" s="11" t="inlineStr">
        <is>
          <t>provenance_visiteurs</t>
        </is>
      </c>
      <c r="AD1" s="11" t="inlineStr">
        <is>
          <t>malades_orientes_fosa</t>
        </is>
      </c>
      <c r="AE1" s="11" t="inlineStr">
        <is>
          <t>malades_arrives_fosa</t>
        </is>
      </c>
      <c r="AF1" s="11" t="inlineStr">
        <is>
          <t>malades_orientes_ct_cte</t>
        </is>
      </c>
      <c r="AG1" s="11" t="inlineStr">
        <is>
          <t>commentaire</t>
        </is>
      </c>
    </row>
    <row r="2">
      <c r="A2" s="17" t="n">
        <v>46305</v>
      </c>
      <c r="B2" s="16" t="inlineStr">
        <is>
          <t>ADRA</t>
        </is>
      </c>
      <c r="C2" s="16" t="inlineStr">
        <is>
          <t>Ituri</t>
        </is>
      </c>
      <c r="D2" s="16" t="inlineStr">
        <is>
          <t>Rwampara</t>
        </is>
      </c>
      <c r="E2" s="16" t="inlineStr">
        <is>
          <t>Dele</t>
        </is>
      </c>
      <c r="F2" s="16" t="inlineStr">
        <is>
          <t>Village X</t>
        </is>
      </c>
      <c r="G2" s="16" t="inlineStr">
        <is>
          <t>Marché</t>
        </is>
      </c>
      <c r="H2" s="16" t="n">
        <v>2</v>
      </c>
      <c r="I2" s="16" t="n">
        <v>2</v>
      </c>
      <c r="J2" s="16" t="n"/>
      <c r="K2" s="16" t="n"/>
      <c r="L2" s="16" t="n">
        <v>0</v>
      </c>
      <c r="M2" s="16" t="n">
        <v>2</v>
      </c>
      <c r="N2" s="16" t="n">
        <v>0</v>
      </c>
      <c r="O2" s="16" t="n">
        <v>0</v>
      </c>
      <c r="P2" s="16" t="n">
        <v>0</v>
      </c>
      <c r="Q2" s="16" t="n">
        <v>0</v>
      </c>
      <c r="R2" s="16" t="n">
        <v>0</v>
      </c>
      <c r="S2" s="16" t="n">
        <v>0</v>
      </c>
      <c r="T2" s="16" t="inlineStr">
        <is>
          <t>Signes de la MVE ; numéro vert 151</t>
        </is>
      </c>
      <c r="U2" s="16" t="n">
        <v>48</v>
      </c>
      <c r="V2" s="16" t="n">
        <v>61</v>
      </c>
      <c r="W2" s="16" t="n">
        <v>1</v>
      </c>
      <c r="X2" s="16" t="n">
        <v>0</v>
      </c>
      <c r="Y2" s="16" t="n">
        <v>1</v>
      </c>
      <c r="Z2" s="16" t="n">
        <v>0</v>
      </c>
      <c r="AA2" s="16" t="n">
        <v>1</v>
      </c>
      <c r="AB2" s="16" t="n">
        <v>3</v>
      </c>
      <c r="AC2" s="16" t="inlineStr">
        <is>
          <t>Bunia (ZS Bunia)</t>
        </is>
      </c>
      <c r="AD2" s="16" t="n">
        <v>1</v>
      </c>
      <c r="AE2" s="16" t="n">
        <v>1</v>
      </c>
      <c r="AF2" s="16" t="n">
        <v>0</v>
      </c>
      <c r="AG2" s="16" t="inlineStr">
        <is>
          <t>Ligne d'exemple : à supprimer</t>
        </is>
      </c>
    </row>
  </sheetData>
  <dataValidations count="28">
    <dataValidation sqref="A2:A5000" showDropDown="0" showInputMessage="0" showErrorMessage="1" allowBlank="1" error="Date au format JJ/MM/AAAA." type="date" operator="between">
      <formula1>DATE(2026,1,1)</formula1>
      <formula2>DATE(2030,12,31)</formula2>
    </dataValidation>
    <dataValidation sqref="B2:B5000" showDropDown="0" showInputMessage="0" showErrorMessage="1" allowBlank="1" errorTitle="Valeur non autorisée" error="Choisir une valeur dans la liste (feuille « listes »)." type="list">
      <formula1>=listes!$B$2:$B$6</formula1>
    </dataValidation>
    <dataValidation sqref="C2:C5000" showDropDown="0" showInputMessage="0" showErrorMessage="1" allowBlank="1" errorTitle="Valeur non autorisée" error="Choisir une valeur dans la liste (feuille « listes »)." type="list">
      <formula1>=listes!$A$2:$A$8</formula1>
    </dataValidation>
    <dataValidation sqref="D2:D5000" showDropDown="0" showInputMessage="0" showErrorMessage="0" allowBlank="1" type="list">
      <formula1>=ref_zones!$B$2:$B$600</formula1>
    </dataValidation>
    <dataValidation sqref="G2:G5000" showDropDown="0" showInputMessage="0" showErrorMessage="1" allowBlank="1" errorTitle="Valeur non autorisée" error="Choisir une valeur dans la liste (feuille « listes »)." type="list">
      <formula1>=listes!$H$2:$H$23</formula1>
    </dataValidation>
    <dataValidation sqref="H2:H5000" showDropDown="0" showInputMessage="0" showErrorMessage="1" allowBlank="1" error="Nombre entier positif ou nul." type="whole" operator="greaterThanOrEqual">
      <formula1>0</formula1>
    </dataValidation>
    <dataValidation sqref="I2:I5000" showDropDown="0" showInputMessage="0" showErrorMessage="1" allowBlank="1" error="Nombre entier positif ou nul." type="whole" operator="greaterThanOrEqual">
      <formula1>0</formula1>
    </dataValidation>
    <dataValidation sqref="J2:J5000" showDropDown="0" showInputMessage="0" showErrorMessage="1" allowBlank="1" error="Nombre entier positif ou nul." type="whole" operator="greaterThanOrEqual">
      <formula1>0</formula1>
    </dataValidation>
    <dataValidation sqref="K2:K5000" showDropDown="0" showInputMessage="0" showErrorMessage="1" allowBlank="1" error="Nombre entier positif ou nul." type="whole" operator="greaterThanOrEqual">
      <formula1>0</formula1>
    </dataValidation>
    <dataValidation sqref="L2:L5000" showDropDown="0" showInputMessage="0" showErrorMessage="1" allowBlank="1" error="Nombre entier positif ou nul." type="whole" operator="greaterThanOrEqual">
      <formula1>0</formula1>
    </dataValidation>
    <dataValidation sqref="M2:M5000" showDropDown="0" showInputMessage="0" showErrorMessage="1" allowBlank="1" error="Nombre entier positif ou nul." type="whole" operator="greaterThanOrEqual">
      <formula1>0</formula1>
    </dataValidation>
    <dataValidation sqref="N2:N5000" showDropDown="0" showInputMessage="0" showErrorMessage="1" allowBlank="1" error="Nombre entier positif ou nul." type="whole" operator="greaterThanOrEqual">
      <formula1>0</formula1>
    </dataValidation>
    <dataValidation sqref="O2:O5000" showDropDown="0" showInputMessage="0" showErrorMessage="1" allowBlank="1" error="Nombre entier positif ou nul." type="whole" operator="greaterThanOrEqual">
      <formula1>0</formula1>
    </dataValidation>
    <dataValidation sqref="P2:P5000" showDropDown="0" showInputMessage="0" showErrorMessage="1" allowBlank="1" error="Nombre entier positif ou nul." type="whole" operator="greaterThanOrEqual">
      <formula1>0</formula1>
    </dataValidation>
    <dataValidation sqref="Q2:Q5000" showDropDown="0" showInputMessage="0" showErrorMessage="1" allowBlank="1" error="Nombre entier positif ou nul." type="whole" operator="greaterThanOrEqual">
      <formula1>0</formula1>
    </dataValidation>
    <dataValidation sqref="R2:R5000" showDropDown="0" showInputMessage="0" showErrorMessage="1" allowBlank="1" error="Nombre entier positif ou nul." type="whole" operator="greaterThanOrEqual">
      <formula1>0</formula1>
    </dataValidation>
    <dataValidation sqref="S2:S5000" showDropDown="0" showInputMessage="0" showErrorMessage="1" allowBlank="1" error="Nombre entier positif ou nul." type="whole" operator="greaterThanOrEqual">
      <formula1>0</formula1>
    </dataValidation>
    <dataValidation sqref="U2:U5000" showDropDown="0" showInputMessage="0" showErrorMessage="1" allowBlank="1" error="Nombre entier positif ou nul." type="whole" operator="greaterThanOrEqual">
      <formula1>0</formula1>
    </dataValidation>
    <dataValidation sqref="V2:V5000" showDropDown="0" showInputMessage="0" showErrorMessage="1" allowBlank="1" error="Nombre entier positif ou nul." type="whole" operator="greaterThanOrEqual">
      <formula1>0</formula1>
    </dataValidation>
    <dataValidation sqref="W2:W5000" showDropDown="0" showInputMessage="0" showErrorMessage="1" allowBlank="1" error="Nombre entier positif ou nul." type="whole" operator="greaterThanOrEqual">
      <formula1>0</formula1>
    </dataValidation>
    <dataValidation sqref="X2:X5000" showDropDown="0" showInputMessage="0" showErrorMessage="1" allowBlank="1" error="Nombre entier positif ou nul." type="whole" operator="greaterThanOrEqual">
      <formula1>0</formula1>
    </dataValidation>
    <dataValidation sqref="Y2:Y5000" showDropDown="0" showInputMessage="0" showErrorMessage="1" allowBlank="1" error="Nombre entier positif ou nul." type="whole" operator="greaterThanOrEqual">
      <formula1>0</formula1>
    </dataValidation>
    <dataValidation sqref="Z2:Z5000" showDropDown="0" showInputMessage="0" showErrorMessage="1" allowBlank="1" error="Nombre entier positif ou nul." type="whole" operator="greaterThanOrEqual">
      <formula1>0</formula1>
    </dataValidation>
    <dataValidation sqref="AA2:AA5000" showDropDown="0" showInputMessage="0" showErrorMessage="1" allowBlank="1" error="Nombre entier positif ou nul." type="whole" operator="greaterThanOrEqual">
      <formula1>0</formula1>
    </dataValidation>
    <dataValidation sqref="AB2:AB5000" showDropDown="0" showInputMessage="0" showErrorMessage="1" allowBlank="1" error="Nombre entier positif ou nul." type="whole" operator="greaterThanOrEqual">
      <formula1>0</formula1>
    </dataValidation>
    <dataValidation sqref="AD2:AD5000" showDropDown="0" showInputMessage="0" showErrorMessage="1" allowBlank="1" error="Nombre entier positif ou nul." type="whole" operator="greaterThanOrEqual">
      <formula1>0</formula1>
    </dataValidation>
    <dataValidation sqref="AE2:AE5000" showDropDown="0" showInputMessage="0" showErrorMessage="1" allowBlank="1" error="Nombre entier positif ou nul." type="whole" operator="greaterThanOrEqual">
      <formula1>0</formula1>
    </dataValidation>
    <dataValidation sqref="AF2:AF5000" showDropDown="0" showInputMessage="0" showErrorMessage="1" allowBlank="1" error="Nombre entier positif ou nul." type="whole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F2C200"/>
    <outlinePr summaryBelow="1" summaryRight="1"/>
    <pageSetUpPr/>
  </sheetPr>
  <dimension ref="A1:A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  <col width="17" customWidth="1" min="6" max="6"/>
    <col width="24" customWidth="1" min="7" max="7"/>
    <col width="21" customWidth="1" min="8" max="8"/>
    <col width="21" customWidth="1" min="9" max="9"/>
    <col width="25" customWidth="1" min="10" max="10"/>
    <col width="25" customWidth="1" min="11" max="11"/>
    <col width="18" customWidth="1" min="12" max="12"/>
    <col width="18" customWidth="1" min="13" max="13"/>
    <col width="27" customWidth="1" min="14" max="14"/>
    <col width="39" customWidth="1" min="15" max="15"/>
    <col width="26" customWidth="1" min="16" max="16"/>
    <col width="26" customWidth="1" min="17" max="17"/>
    <col width="37" customWidth="1" min="18" max="18"/>
    <col width="21" customWidth="1" min="19" max="19"/>
    <col width="33" customWidth="1" min="20" max="20"/>
    <col width="31" customWidth="1" min="21" max="21"/>
    <col width="28" customWidth="1" min="22" max="22"/>
    <col width="25" customWidth="1" min="23" max="23"/>
    <col width="27" customWidth="1" min="24" max="24"/>
    <col width="31" customWidth="1" min="25" max="25"/>
    <col width="25" customWidth="1" min="26" max="26"/>
    <col width="24" customWidth="1" min="27" max="27"/>
    <col width="24" customWidth="1" min="28" max="28"/>
    <col width="25" customWidth="1" min="29" max="29"/>
    <col width="19" customWidth="1" min="30" max="30"/>
    <col width="12" customWidth="1" min="31" max="31"/>
    <col width="12" customWidth="1" min="32" max="32"/>
  </cols>
  <sheetData>
    <row r="1" ht="30" customHeight="1">
      <c r="A1" s="11" t="inlineStr">
        <is>
          <t>date</t>
        </is>
      </c>
      <c r="B1" s="11" t="inlineStr">
        <is>
          <t>ip</t>
        </is>
      </c>
      <c r="C1" s="11" t="inlineStr">
        <is>
          <t>province</t>
        </is>
      </c>
      <c r="D1" s="11" t="inlineStr">
        <is>
          <t>zone_sante</t>
        </is>
      </c>
      <c r="E1" s="11" t="inlineStr">
        <is>
          <t>aire_sante</t>
        </is>
      </c>
      <c r="F1" s="11" t="inlineStr">
        <is>
          <t>reco_attendus</t>
        </is>
      </c>
      <c r="G1" s="11" t="inlineStr">
        <is>
          <t>reco_ayant_travaille</t>
        </is>
      </c>
      <c r="H1" s="11" t="inlineStr">
        <is>
          <t>contacts_listes_h</t>
        </is>
      </c>
      <c r="I1" s="11" t="inlineStr">
        <is>
          <t>contacts_listes_f</t>
        </is>
      </c>
      <c r="J1" s="11" t="inlineStr">
        <is>
          <t>contacts_sous_suivi_h</t>
        </is>
      </c>
      <c r="K1" s="11" t="inlineStr">
        <is>
          <t>contacts_sous_suivi_f</t>
        </is>
      </c>
      <c r="L1" s="11" t="inlineStr">
        <is>
          <t>contacts_vus_h</t>
        </is>
      </c>
      <c r="M1" s="11" t="inlineStr">
        <is>
          <t>contacts_vus_f</t>
        </is>
      </c>
      <c r="N1" s="11" t="inlineStr">
        <is>
          <t>contacts_symptomatiques</t>
        </is>
      </c>
      <c r="O1" s="11" t="inlineStr">
        <is>
          <t>contacts_symptomatiques_referes_24h</t>
        </is>
      </c>
      <c r="P1" s="11" t="inlineStr">
        <is>
          <t>contacts_fin_suivi_21j</t>
        </is>
      </c>
      <c r="Q1" s="11" t="inlineStr">
        <is>
          <t>contacts_perdus_de_vue</t>
        </is>
      </c>
      <c r="R1" s="11" t="inlineStr">
        <is>
          <t>contacts_sensibilises_vaccination</t>
        </is>
      </c>
      <c r="S1" s="11" t="inlineStr">
        <is>
          <t>contacts_vaccines</t>
        </is>
      </c>
      <c r="T1" s="11" t="inlineStr">
        <is>
          <t>deces_communautaires_notifies</t>
        </is>
      </c>
      <c r="U1" s="11" t="inlineStr">
        <is>
          <t>deces_communautaires_swabes</t>
        </is>
      </c>
      <c r="V1" s="11" t="inlineStr">
        <is>
          <t>deces_communautaires_eds</t>
        </is>
      </c>
      <c r="W1" s="11" t="inlineStr">
        <is>
          <t>alertes_verifiees_24h</t>
        </is>
      </c>
      <c r="X1" s="11" t="inlineStr">
        <is>
          <t>reticences_enregistrees</t>
        </is>
      </c>
      <c r="Y1" s="11" t="inlineStr">
        <is>
          <t>reticences_levees_meme_jour</t>
        </is>
      </c>
      <c r="Z1" s="11" t="inlineStr">
        <is>
          <t>reticences_levees_48h</t>
        </is>
      </c>
      <c r="AA1" s="11" t="inlineStr">
        <is>
          <t>rumeurs_enregistrees</t>
        </is>
      </c>
      <c r="AB1" s="11" t="inlineStr">
        <is>
          <t>rumeurs_traitees_48h</t>
        </is>
      </c>
      <c r="AC1" s="11" t="inlineStr">
        <is>
          <t>alertes_sante_animale</t>
        </is>
      </c>
      <c r="AD1" s="11" t="inlineStr">
        <is>
          <t>feedback_majeur</t>
        </is>
      </c>
      <c r="AE1" s="11" t="inlineStr">
        <is>
          <t>visa_as</t>
        </is>
      </c>
      <c r="AF1" s="11" t="inlineStr">
        <is>
          <t>visa_bcz</t>
        </is>
      </c>
    </row>
    <row r="2">
      <c r="A2" s="17" t="n">
        <v>46305</v>
      </c>
      <c r="B2" s="16" t="inlineStr">
        <is>
          <t>ADRA</t>
        </is>
      </c>
      <c r="C2" s="16" t="inlineStr">
        <is>
          <t>Ituri</t>
        </is>
      </c>
      <c r="D2" s="16" t="inlineStr">
        <is>
          <t>Rwampara</t>
        </is>
      </c>
      <c r="E2" s="16" t="inlineStr">
        <is>
          <t>Dele</t>
        </is>
      </c>
      <c r="F2" s="16" t="n">
        <v>25</v>
      </c>
      <c r="G2" s="16" t="n">
        <v>22</v>
      </c>
      <c r="H2" s="16" t="n">
        <v>3</v>
      </c>
      <c r="I2" s="16" t="n">
        <v>4</v>
      </c>
      <c r="J2" s="16" t="n">
        <v>40</v>
      </c>
      <c r="K2" s="16" t="n">
        <v>52</v>
      </c>
      <c r="L2" s="16" t="n">
        <v>38</v>
      </c>
      <c r="M2" s="16" t="n">
        <v>49</v>
      </c>
      <c r="N2" s="16" t="n">
        <v>1</v>
      </c>
      <c r="O2" s="16" t="n">
        <v>1</v>
      </c>
      <c r="P2" s="16" t="n">
        <v>6</v>
      </c>
      <c r="Q2" s="16" t="n">
        <v>0</v>
      </c>
      <c r="R2" s="16" t="n">
        <v>0</v>
      </c>
      <c r="S2" s="16" t="n">
        <v>0</v>
      </c>
      <c r="T2" s="16" t="n">
        <v>1</v>
      </c>
      <c r="U2" s="16" t="n">
        <v>1</v>
      </c>
      <c r="V2" s="16" t="n">
        <v>1</v>
      </c>
      <c r="W2" s="16" t="n">
        <v>1</v>
      </c>
      <c r="X2" s="16" t="n">
        <v>2</v>
      </c>
      <c r="Y2" s="16" t="n">
        <v>1</v>
      </c>
      <c r="Z2" s="16" t="n">
        <v>2</v>
      </c>
      <c r="AA2" s="16" t="n">
        <v>3</v>
      </c>
      <c r="AB2" s="16" t="n">
        <v>2</v>
      </c>
      <c r="AC2" s="16" t="n">
        <v>0</v>
      </c>
      <c r="AD2" s="16" t="inlineStr">
        <is>
          <t>Rumeur : « le CTE ne nourrit pas les malades »</t>
        </is>
      </c>
      <c r="AE2" s="16" t="inlineStr">
        <is>
          <t>O</t>
        </is>
      </c>
      <c r="AF2" s="16" t="inlineStr">
        <is>
          <t>O</t>
        </is>
      </c>
    </row>
  </sheetData>
  <dataValidations count="30">
    <dataValidation sqref="A2:A5000" showDropDown="0" showInputMessage="0" showErrorMessage="1" allowBlank="1" error="Date au format JJ/MM/AAAA." type="date" operator="between">
      <formula1>DATE(2026,1,1)</formula1>
      <formula2>DATE(2030,12,31)</formula2>
    </dataValidation>
    <dataValidation sqref="B2:B5000" showDropDown="0" showInputMessage="0" showErrorMessage="1" allowBlank="1" errorTitle="Valeur non autorisée" error="Choisir une valeur dans la liste (feuille « listes »)." type="list">
      <formula1>=listes!$B$2:$B$6</formula1>
    </dataValidation>
    <dataValidation sqref="C2:C5000" showDropDown="0" showInputMessage="0" showErrorMessage="1" allowBlank="1" errorTitle="Valeur non autorisée" error="Choisir une valeur dans la liste (feuille « listes »)." type="list">
      <formula1>=listes!$A$2:$A$8</formula1>
    </dataValidation>
    <dataValidation sqref="D2:D5000" showDropDown="0" showInputMessage="0" showErrorMessage="0" allowBlank="1" type="list">
      <formula1>=ref_zones!$B$2:$B$600</formula1>
    </dataValidation>
    <dataValidation sqref="F2:F5000" showDropDown="0" showInputMessage="0" showErrorMessage="1" allowBlank="1" error="Nombre entier positif ou nul." type="whole" operator="greaterThanOrEqual">
      <formula1>0</formula1>
    </dataValidation>
    <dataValidation sqref="G2:G5000" showDropDown="0" showInputMessage="0" showErrorMessage="1" allowBlank="1" error="Nombre entier positif ou nul." type="whole" operator="greaterThanOrEqual">
      <formula1>0</formula1>
    </dataValidation>
    <dataValidation sqref="H2:H5000" showDropDown="0" showInputMessage="0" showErrorMessage="1" allowBlank="1" error="Nombre entier positif ou nul." type="whole" operator="greaterThanOrEqual">
      <formula1>0</formula1>
    </dataValidation>
    <dataValidation sqref="I2:I5000" showDropDown="0" showInputMessage="0" showErrorMessage="1" allowBlank="1" error="Nombre entier positif ou nul." type="whole" operator="greaterThanOrEqual">
      <formula1>0</formula1>
    </dataValidation>
    <dataValidation sqref="J2:J5000" showDropDown="0" showInputMessage="0" showErrorMessage="1" allowBlank="1" error="Nombre entier positif ou nul." type="whole" operator="greaterThanOrEqual">
      <formula1>0</formula1>
    </dataValidation>
    <dataValidation sqref="K2:K5000" showDropDown="0" showInputMessage="0" showErrorMessage="1" allowBlank="1" error="Nombre entier positif ou nul." type="whole" operator="greaterThanOrEqual">
      <formula1>0</formula1>
    </dataValidation>
    <dataValidation sqref="L2:L5000" showDropDown="0" showInputMessage="0" showErrorMessage="1" allowBlank="1" error="Nombre entier positif ou nul." type="whole" operator="greaterThanOrEqual">
      <formula1>0</formula1>
    </dataValidation>
    <dataValidation sqref="M2:M5000" showDropDown="0" showInputMessage="0" showErrorMessage="1" allowBlank="1" error="Nombre entier positif ou nul." type="whole" operator="greaterThanOrEqual">
      <formula1>0</formula1>
    </dataValidation>
    <dataValidation sqref="N2:N5000" showDropDown="0" showInputMessage="0" showErrorMessage="1" allowBlank="1" error="Nombre entier positif ou nul." type="whole" operator="greaterThanOrEqual">
      <formula1>0</formula1>
    </dataValidation>
    <dataValidation sqref="O2:O5000" showDropDown="0" showInputMessage="0" showErrorMessage="1" allowBlank="1" error="Nombre entier positif ou nul." type="whole" operator="greaterThanOrEqual">
      <formula1>0</formula1>
    </dataValidation>
    <dataValidation sqref="P2:P5000" showDropDown="0" showInputMessage="0" showErrorMessage="1" allowBlank="1" error="Nombre entier positif ou nul." type="whole" operator="greaterThanOrEqual">
      <formula1>0</formula1>
    </dataValidation>
    <dataValidation sqref="Q2:Q5000" showDropDown="0" showInputMessage="0" showErrorMessage="1" allowBlank="1" error="Nombre entier positif ou nul." type="whole" operator="greaterThanOrEqual">
      <formula1>0</formula1>
    </dataValidation>
    <dataValidation sqref="R2:R5000" showDropDown="0" showInputMessage="0" showErrorMessage="1" allowBlank="1" error="Nombre entier positif ou nul." type="whole" operator="greaterThanOrEqual">
      <formula1>0</formula1>
    </dataValidation>
    <dataValidation sqref="S2:S5000" showDropDown="0" showInputMessage="0" showErrorMessage="1" allowBlank="1" error="Nombre entier positif ou nul." type="whole" operator="greaterThanOrEqual">
      <formula1>0</formula1>
    </dataValidation>
    <dataValidation sqref="T2:T5000" showDropDown="0" showInputMessage="0" showErrorMessage="1" allowBlank="1" error="Nombre entier positif ou nul." type="whole" operator="greaterThanOrEqual">
      <formula1>0</formula1>
    </dataValidation>
    <dataValidation sqref="U2:U5000" showDropDown="0" showInputMessage="0" showErrorMessage="1" allowBlank="1" error="Nombre entier positif ou nul." type="whole" operator="greaterThanOrEqual">
      <formula1>0</formula1>
    </dataValidation>
    <dataValidation sqref="V2:V5000" showDropDown="0" showInputMessage="0" showErrorMessage="1" allowBlank="1" error="Nombre entier positif ou nul." type="whole" operator="greaterThanOrEqual">
      <formula1>0</formula1>
    </dataValidation>
    <dataValidation sqref="W2:W5000" showDropDown="0" showInputMessage="0" showErrorMessage="1" allowBlank="1" error="Nombre entier positif ou nul." type="whole" operator="greaterThanOrEqual">
      <formula1>0</formula1>
    </dataValidation>
    <dataValidation sqref="X2:X5000" showDropDown="0" showInputMessage="0" showErrorMessage="1" allowBlank="1" error="Nombre entier positif ou nul." type="whole" operator="greaterThanOrEqual">
      <formula1>0</formula1>
    </dataValidation>
    <dataValidation sqref="Y2:Y5000" showDropDown="0" showInputMessage="0" showErrorMessage="1" allowBlank="1" error="Nombre entier positif ou nul." type="whole" operator="greaterThanOrEqual">
      <formula1>0</formula1>
    </dataValidation>
    <dataValidation sqref="Z2:Z5000" showDropDown="0" showInputMessage="0" showErrorMessage="1" allowBlank="1" error="Nombre entier positif ou nul." type="whole" operator="greaterThanOrEqual">
      <formula1>0</formula1>
    </dataValidation>
    <dataValidation sqref="AA2:AA5000" showDropDown="0" showInputMessage="0" showErrorMessage="1" allowBlank="1" error="Nombre entier positif ou nul." type="whole" operator="greaterThanOrEqual">
      <formula1>0</formula1>
    </dataValidation>
    <dataValidation sqref="AB2:AB5000" showDropDown="0" showInputMessage="0" showErrorMessage="1" allowBlank="1" error="Nombre entier positif ou nul." type="whole" operator="greaterThanOrEqual">
      <formula1>0</formula1>
    </dataValidation>
    <dataValidation sqref="AC2:AC5000" showDropDown="0" showInputMessage="0" showErrorMessage="1" allowBlank="1" error="Nombre entier positif ou nul." type="whole" operator="greaterThanOrEqual">
      <formula1>0</formula1>
    </dataValidation>
    <dataValidation sqref="AE2:AE5000" showDropDown="0" showInputMessage="0" showErrorMessage="1" allowBlank="1" errorTitle="Valeur non autorisée" error="Choisir une valeur dans la liste (feuille « listes »)." type="list">
      <formula1>=listes!$I$2:$I$3</formula1>
    </dataValidation>
    <dataValidation sqref="AF2:AF5000" showDropDown="0" showInputMessage="0" showErrorMessage="1" allowBlank="1" errorTitle="Valeur non autorisée" error="Choisir une valeur dans la liste (feuille « listes »)." type="list">
      <formula1>=listes!$I$2:$I$3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F2C200"/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9" customWidth="1" min="7" max="7"/>
    <col width="21" customWidth="1" min="8" max="8"/>
    <col width="19" customWidth="1" min="9" max="9"/>
    <col width="27" customWidth="1" min="10" max="10"/>
  </cols>
  <sheetData>
    <row r="1" ht="30" customHeight="1">
      <c r="A1" s="11" t="inlineStr">
        <is>
          <t>id_reunion</t>
        </is>
      </c>
      <c r="B1" s="11" t="inlineStr">
        <is>
          <t>date</t>
        </is>
      </c>
      <c r="C1" s="11" t="inlineStr">
        <is>
          <t>niveau</t>
        </is>
      </c>
      <c r="D1" s="11" t="inlineStr">
        <is>
          <t>lieu</t>
        </is>
      </c>
      <c r="E1" s="11" t="inlineStr">
        <is>
          <t>objet</t>
        </is>
      </c>
      <c r="F1" s="11" t="inlineStr">
        <is>
          <t>duree_min</t>
        </is>
      </c>
      <c r="G1" s="11" t="inlineStr">
        <is>
          <t>nb_participants</t>
        </is>
      </c>
      <c r="H1" s="11" t="inlineStr">
        <is>
          <t>representant_cgpp</t>
        </is>
      </c>
      <c r="I1" s="11" t="inlineStr">
        <is>
          <t>fichier_rapport</t>
        </is>
      </c>
      <c r="J1" s="11" t="inlineStr">
        <is>
          <t>liste_presence_complete</t>
        </is>
      </c>
    </row>
    <row r="2">
      <c r="A2" s="16" t="inlineStr">
        <is>
          <t>20261012-ZS-RWAMPARA</t>
        </is>
      </c>
      <c r="B2" s="17" t="n">
        <v>46307</v>
      </c>
      <c r="C2" s="16" t="inlineStr">
        <is>
          <t>Zone de santé</t>
        </is>
      </c>
      <c r="D2" s="16" t="inlineStr">
        <is>
          <t>BCZ Rwampara</t>
        </is>
      </c>
      <c r="E2" s="16" t="inlineStr">
        <is>
          <t>Réunion de coordination de la ZS</t>
        </is>
      </c>
      <c r="F2" s="16" t="n">
        <v>60</v>
      </c>
      <c r="G2" s="16" t="n">
        <v>18</v>
      </c>
      <c r="H2" s="16" t="inlineStr">
        <is>
          <t>Point focal ADRA</t>
        </is>
      </c>
      <c r="I2" s="16" t="inlineStr">
        <is>
          <t>CR_ZS_Rwampara_2026-10-12.docx</t>
        </is>
      </c>
      <c r="J2" s="16" t="inlineStr">
        <is>
          <t>O</t>
        </is>
      </c>
    </row>
  </sheetData>
  <dataValidations count="5">
    <dataValidation sqref="B2:B5000" showDropDown="0" showInputMessage="0" showErrorMessage="1" allowBlank="1" error="Date au format JJ/MM/AAAA." type="date" operator="between">
      <formula1>DATE(2026,1,1)</formula1>
      <formula2>DATE(2030,12,31)</formula2>
    </dataValidation>
    <dataValidation sqref="C2:C5000" showDropDown="0" showInputMessage="0" showErrorMessage="1" allowBlank="1" errorTitle="Valeur non autorisée" error="Choisir une valeur dans la liste (feuille « listes »)." type="list">
      <formula1>=listes!$J$2:$J$7</formula1>
    </dataValidation>
    <dataValidation sqref="F2:F5000" showDropDown="0" showInputMessage="0" showErrorMessage="1" allowBlank="1" error="Nombre entier positif ou nul." type="whole" operator="greaterThanOrEqual">
      <formula1>0</formula1>
    </dataValidation>
    <dataValidation sqref="G2:G5000" showDropDown="0" showInputMessage="0" showErrorMessage="1" allowBlank="1" error="Nombre entier positif ou nul." type="whole" operator="greaterThanOrEqual">
      <formula1>0</formula1>
    </dataValidation>
    <dataValidation sqref="J2:J5000" showDropDown="0" showInputMessage="0" showErrorMessage="1" allowBlank="1" errorTitle="Valeur non autorisée" error="Choisir une valeur dans la liste (feuille « listes »)." type="list">
      <formula1>=listes!$I$2:$I$3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F2C200"/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8" customWidth="1" min="3" max="3"/>
    <col width="17" customWidth="1" min="4" max="4"/>
    <col width="15" customWidth="1" min="5" max="5"/>
    <col width="12" customWidth="1" min="6" max="6"/>
    <col width="12" customWidth="1" min="7" max="7"/>
    <col width="15" customWidth="1" min="8" max="8"/>
    <col width="48" customWidth="1" min="9" max="9"/>
  </cols>
  <sheetData>
    <row r="1" ht="30" customHeight="1">
      <c r="A1" s="11" t="inlineStr">
        <is>
          <t>id_action</t>
        </is>
      </c>
      <c r="B1" s="11" t="inlineStr">
        <is>
          <t>id_reunion</t>
        </is>
      </c>
      <c r="C1" s="11" t="inlineStr">
        <is>
          <t>action</t>
        </is>
      </c>
      <c r="D1" s="11" t="inlineStr">
        <is>
          <t>concerne_cgpp</t>
        </is>
      </c>
      <c r="E1" s="11" t="inlineStr">
        <is>
          <t>responsable</t>
        </is>
      </c>
      <c r="F1" s="11" t="inlineStr">
        <is>
          <t>echeance</t>
        </is>
      </c>
      <c r="G1" s="11" t="inlineStr">
        <is>
          <t>statut</t>
        </is>
      </c>
      <c r="H1" s="11" t="inlineStr">
        <is>
          <t>date_statut</t>
        </is>
      </c>
      <c r="I1" s="11" t="inlineStr">
        <is>
          <t>commentaire</t>
        </is>
      </c>
    </row>
    <row r="2">
      <c r="A2" s="16" t="inlineStr">
        <is>
          <t>20261012-ZS-RWAMPARA-01</t>
        </is>
      </c>
      <c r="B2" s="16" t="inlineStr">
        <is>
          <t>20261012-ZS-RWAMPARA</t>
        </is>
      </c>
      <c r="C2" s="16" t="inlineStr">
        <is>
          <t>Relancer les RECO de l'AS Dele pour la saisie quotidienne</t>
        </is>
      </c>
      <c r="D2" s="16" t="inlineStr">
        <is>
          <t>O</t>
        </is>
      </c>
      <c r="E2" s="16" t="inlineStr">
        <is>
          <t>Superviseur ADRA</t>
        </is>
      </c>
      <c r="F2" s="17" t="n">
        <v>46309</v>
      </c>
      <c r="G2" s="16" t="inlineStr">
        <is>
          <t>En cours</t>
        </is>
      </c>
      <c r="H2" s="17" t="n">
        <v>46307</v>
      </c>
      <c r="I2" s="16" t="inlineStr">
        <is>
          <t>Ligne d'exemple : à supprimer</t>
        </is>
      </c>
    </row>
  </sheetData>
  <dataValidations count="4">
    <dataValidation sqref="D2:D5000" showDropDown="0" showInputMessage="0" showErrorMessage="1" allowBlank="1" errorTitle="Valeur non autorisée" error="Choisir une valeur dans la liste (feuille « listes »)." type="list">
      <formula1>=listes!$I$2:$I$3</formula1>
    </dataValidation>
    <dataValidation sqref="F2:F5000" showDropDown="0" showInputMessage="0" showErrorMessage="1" allowBlank="1" error="Date au format JJ/MM/AAAA." type="date" operator="between">
      <formula1>DATE(2026,1,1)</formula1>
      <formula2>DATE(2030,12,31)</formula2>
    </dataValidation>
    <dataValidation sqref="G2:G5000" showDropDown="0" showInputMessage="0" showErrorMessage="1" allowBlank="1" errorTitle="Valeur non autorisée" error="Choisir une valeur dans la liste (feuille « listes »)." type="list">
      <formula1>=listes!$K$2:$K$5</formula1>
    </dataValidation>
    <dataValidation sqref="H2:H5000" showDropDown="0" showInputMessage="0" showErrorMessage="1" allowBlank="1" error="Date au format JJ/MM/AAAA." type="date" operator="between">
      <formula1>DATE(2026,1,1)</formula1>
      <formula2>DATE(2030,12,31)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F2C200"/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48" customWidth="1" min="4" max="4"/>
    <col width="12" customWidth="1" min="5" max="5"/>
  </cols>
  <sheetData>
    <row r="1" ht="30" customHeight="1">
      <c r="A1" s="11" t="inlineStr">
        <is>
          <t>date_rapport</t>
        </is>
      </c>
      <c r="B1" s="11" t="inlineStr">
        <is>
          <t>section</t>
        </is>
      </c>
      <c r="C1" s="11" t="inlineStr">
        <is>
          <t>ordre</t>
        </is>
      </c>
      <c r="D1" s="11" t="inlineStr">
        <is>
          <t>texte</t>
        </is>
      </c>
      <c r="E1" s="11" t="inlineStr">
        <is>
          <t>auteur</t>
        </is>
      </c>
    </row>
    <row r="2">
      <c r="A2" s="17" t="n">
        <v>46305</v>
      </c>
      <c r="B2" s="16" t="inlineStr">
        <is>
          <t>Faits marquants</t>
        </is>
      </c>
      <c r="C2" s="16" t="n">
        <v>1</v>
      </c>
      <c r="D2" s="16" t="inlineStr">
        <is>
          <t>Exemple : 35 RECO de l'AS de Nzere briefés sur l'approche village.</t>
        </is>
      </c>
      <c r="E2" s="16" t="inlineStr">
        <is>
          <t>Nom de l'auteur</t>
        </is>
      </c>
    </row>
  </sheetData>
  <dataValidations count="3">
    <dataValidation sqref="A2:A5000" showDropDown="0" showInputMessage="0" showErrorMessage="1" allowBlank="1" error="Date au format JJ/MM/AAAA." type="date" operator="between">
      <formula1>DATE(2026,1,1)</formula1>
      <formula2>DATE(2030,12,31)</formula2>
    </dataValidation>
    <dataValidation sqref="B2:B5000" showDropDown="0" showInputMessage="0" showErrorMessage="1" allowBlank="1" errorTitle="Valeur non autorisée" error="Choisir une valeur dans la liste (feuille « listes »)." type="list">
      <formula1>=listes!$N$2:$N$7</formula1>
    </dataValidation>
    <dataValidation sqref="C2:C5000" showDropDown="0" showInputMessage="0" showErrorMessage="1" allowBlank="1" error="Nombre entier positif ou nul." type="whole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F2C200"/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12" customWidth="1" min="4" max="4"/>
    <col width="12" customWidth="1" min="5" max="5"/>
    <col width="48" customWidth="1" min="6" max="6"/>
    <col width="12" customWidth="1" min="7" max="7"/>
    <col width="15" customWidth="1" min="8" max="8"/>
    <col width="12" customWidth="1" min="9" max="9"/>
    <col width="19" customWidth="1" min="10" max="10"/>
  </cols>
  <sheetData>
    <row r="1" ht="30" customHeight="1">
      <c r="A1" s="11" t="inlineStr">
        <is>
          <t>id_anomalie</t>
        </is>
      </c>
      <c r="B1" s="11" t="inlineStr">
        <is>
          <t>date_detection</t>
        </is>
      </c>
      <c r="C1" s="11" t="inlineStr">
        <is>
          <t>regle</t>
        </is>
      </c>
      <c r="D1" s="11" t="inlineStr">
        <is>
          <t>source</t>
        </is>
      </c>
      <c r="E1" s="11" t="inlineStr">
        <is>
          <t>objet</t>
        </is>
      </c>
      <c r="F1" s="11" t="inlineStr">
        <is>
          <t>description</t>
        </is>
      </c>
      <c r="G1" s="11" t="inlineStr">
        <is>
          <t>gravite</t>
        </is>
      </c>
      <c r="H1" s="11" t="inlineStr">
        <is>
          <t>responsable</t>
        </is>
      </c>
      <c r="I1" s="11" t="inlineStr">
        <is>
          <t>statut</t>
        </is>
      </c>
      <c r="J1" s="11" t="inlineStr">
        <is>
          <t>date_resolution</t>
        </is>
      </c>
    </row>
    <row r="2">
      <c r="A2" s="16" t="inlineStr">
        <is>
          <t>SR-11 | SitRep 146 | Taux d'occupation</t>
        </is>
      </c>
      <c r="B2" s="17" t="n">
        <v>46307</v>
      </c>
      <c r="C2" s="16" t="inlineStr">
        <is>
          <t>SR-11</t>
        </is>
      </c>
      <c r="D2" s="16" t="inlineStr">
        <is>
          <t>SitRep 146</t>
        </is>
      </c>
      <c r="E2" s="16" t="inlineStr">
        <is>
          <t>Taux d'occupation Nord-Kivu</t>
        </is>
      </c>
      <c r="F2" s="16" t="inlineStr">
        <is>
          <t>84,2 % publié pour 169/209 (80,9 %)</t>
        </is>
      </c>
      <c r="G2" s="16" t="inlineStr">
        <is>
          <t>Majeure</t>
        </is>
      </c>
      <c r="H2" s="16" t="inlineStr">
        <is>
          <t>Data manager INSP</t>
        </is>
      </c>
      <c r="I2" s="16" t="inlineStr">
        <is>
          <t>Ouverte</t>
        </is>
      </c>
      <c r="J2" s="17" t="n"/>
    </row>
  </sheetData>
  <dataValidations count="4">
    <dataValidation sqref="B2:B5000" showDropDown="0" showInputMessage="0" showErrorMessage="1" allowBlank="1" error="Date au format JJ/MM/AAAA." type="date" operator="between">
      <formula1>DATE(2026,1,1)</formula1>
      <formula2>DATE(2030,12,31)</formula2>
    </dataValidation>
    <dataValidation sqref="G2:G5000" showDropDown="0" showInputMessage="0" showErrorMessage="1" allowBlank="1" errorTitle="Valeur non autorisée" error="Choisir une valeur dans la liste (feuille « listes »)." type="list">
      <formula1>=listes!$L$2:$L$4</formula1>
    </dataValidation>
    <dataValidation sqref="I2:I5000" showDropDown="0" showInputMessage="0" showErrorMessage="1" allowBlank="1" errorTitle="Valeur non autorisée" error="Choisir une valeur dans la liste (feuille « listes »)." type="list">
      <formula1>=listes!$M$2:$M$4</formula1>
    </dataValidation>
    <dataValidation sqref="J2:J5000" showDropDown="0" showInputMessage="0" showErrorMessage="1" allowBlank="1" error="Date au format JJ/MM/AAAA." type="date" operator="between">
      <formula1>DATE(2026,1,1)</formula1>
      <formula2>DATE(2030,12,31)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008EA9DB"/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5" customWidth="1" min="5" max="5"/>
    <col width="14" customWidth="1" min="6" max="6"/>
    <col width="12" customWidth="1" min="7" max="7"/>
  </cols>
  <sheetData>
    <row r="1" ht="30" customHeight="1">
      <c r="A1" s="11" t="inlineStr">
        <is>
          <t>province</t>
        </is>
      </c>
      <c r="B1" s="11" t="inlineStr">
        <is>
          <t>zone_sante</t>
        </is>
      </c>
      <c r="C1" s="11" t="inlineStr">
        <is>
          <t>code_zs</t>
        </is>
      </c>
      <c r="D1" s="11" t="inlineStr">
        <is>
          <t>ip_cgpp</t>
        </is>
      </c>
      <c r="E1" s="11" t="inlineStr">
        <is>
          <t>statut_cgpp</t>
        </is>
      </c>
      <c r="F1" s="11" t="inlineStr">
        <is>
          <t>population</t>
        </is>
      </c>
      <c r="G1" s="11" t="inlineStr">
        <is>
          <t>source</t>
        </is>
      </c>
    </row>
    <row r="2">
      <c r="A2" s="19" t="inlineStr">
        <is>
          <t>Nord-Kivu</t>
        </is>
      </c>
      <c r="B2" s="19" t="inlineStr">
        <is>
          <t>Goma</t>
        </is>
      </c>
      <c r="C2" s="1" t="n"/>
      <c r="D2" s="19" t="inlineStr">
        <is>
          <t>WV</t>
        </is>
      </c>
      <c r="E2" s="19" t="inlineStr">
        <is>
          <t>intervention</t>
        </is>
      </c>
      <c r="F2" s="1" t="n"/>
      <c r="G2" s="19" t="inlineStr">
        <is>
          <t>config.yaml</t>
        </is>
      </c>
    </row>
    <row r="3">
      <c r="A3" s="19" t="inlineStr">
        <is>
          <t>Nord-Kivu</t>
        </is>
      </c>
      <c r="B3" s="19" t="inlineStr">
        <is>
          <t>Karisimbi</t>
        </is>
      </c>
      <c r="C3" s="1" t="n"/>
      <c r="D3" s="19" t="inlineStr">
        <is>
          <t>WV</t>
        </is>
      </c>
      <c r="E3" s="19" t="inlineStr">
        <is>
          <t>intervention</t>
        </is>
      </c>
      <c r="F3" s="1" t="n"/>
      <c r="G3" s="19" t="inlineStr">
        <is>
          <t>config.yaml</t>
        </is>
      </c>
    </row>
    <row r="4">
      <c r="A4" s="19" t="inlineStr">
        <is>
          <t>Nord-Kivu</t>
        </is>
      </c>
      <c r="B4" s="19" t="inlineStr">
        <is>
          <t>Rwanguba</t>
        </is>
      </c>
      <c r="C4" s="1" t="n"/>
      <c r="D4" s="19" t="inlineStr">
        <is>
          <t>WV</t>
        </is>
      </c>
      <c r="E4" s="19" t="inlineStr">
        <is>
          <t>intervention</t>
        </is>
      </c>
      <c r="F4" s="1" t="n"/>
      <c r="G4" s="19" t="inlineStr">
        <is>
          <t>config.yaml</t>
        </is>
      </c>
    </row>
    <row r="5">
      <c r="A5" s="19" t="inlineStr">
        <is>
          <t>Nord-Kivu</t>
        </is>
      </c>
      <c r="B5" s="19" t="inlineStr">
        <is>
          <t>Kalunguta</t>
        </is>
      </c>
      <c r="C5" s="1" t="n"/>
      <c r="D5" s="19" t="inlineStr">
        <is>
          <t>WV</t>
        </is>
      </c>
      <c r="E5" s="19" t="inlineStr">
        <is>
          <t>intervention</t>
        </is>
      </c>
      <c r="F5" s="1" t="n"/>
      <c r="G5" s="19" t="inlineStr">
        <is>
          <t>config.yaml</t>
        </is>
      </c>
    </row>
    <row r="6">
      <c r="A6" s="19" t="inlineStr">
        <is>
          <t>Nord-Kivu</t>
        </is>
      </c>
      <c r="B6" s="19" t="inlineStr">
        <is>
          <t>Mutwanga</t>
        </is>
      </c>
      <c r="C6" s="1" t="n"/>
      <c r="D6" s="19" t="inlineStr">
        <is>
          <t>WV</t>
        </is>
      </c>
      <c r="E6" s="19" t="inlineStr">
        <is>
          <t>intervention</t>
        </is>
      </c>
      <c r="F6" s="1" t="n"/>
      <c r="G6" s="19" t="inlineStr">
        <is>
          <t>config.yaml</t>
        </is>
      </c>
    </row>
    <row r="7">
      <c r="A7" s="19" t="inlineStr">
        <is>
          <t>Sud-Kivu</t>
        </is>
      </c>
      <c r="B7" s="19" t="inlineStr">
        <is>
          <t>Uvira</t>
        </is>
      </c>
      <c r="C7" s="1" t="n"/>
      <c r="D7" s="19" t="inlineStr">
        <is>
          <t>WV</t>
        </is>
      </c>
      <c r="E7" s="19" t="inlineStr">
        <is>
          <t>intervention</t>
        </is>
      </c>
      <c r="F7" s="1" t="n"/>
      <c r="G7" s="19" t="inlineStr">
        <is>
          <t>config.yaml</t>
        </is>
      </c>
    </row>
    <row r="8">
      <c r="A8" s="19" t="inlineStr">
        <is>
          <t>Sud-Kivu</t>
        </is>
      </c>
      <c r="B8" s="19" t="inlineStr">
        <is>
          <t>Nundu</t>
        </is>
      </c>
      <c r="C8" s="1" t="n"/>
      <c r="D8" s="19" t="inlineStr">
        <is>
          <t>WV</t>
        </is>
      </c>
      <c r="E8" s="19" t="inlineStr">
        <is>
          <t>intervention</t>
        </is>
      </c>
      <c r="F8" s="1" t="n"/>
      <c r="G8" s="19" t="inlineStr">
        <is>
          <t>config.yaml</t>
        </is>
      </c>
    </row>
    <row r="9">
      <c r="A9" s="19" t="inlineStr">
        <is>
          <t>Sud-Kivu</t>
        </is>
      </c>
      <c r="B9" s="19" t="inlineStr">
        <is>
          <t>Nyangezi</t>
        </is>
      </c>
      <c r="C9" s="1" t="n"/>
      <c r="D9" s="19" t="inlineStr">
        <is>
          <t>WV</t>
        </is>
      </c>
      <c r="E9" s="19" t="inlineStr">
        <is>
          <t>intervention</t>
        </is>
      </c>
      <c r="F9" s="1" t="n"/>
      <c r="G9" s="19" t="inlineStr">
        <is>
          <t>config.yaml</t>
        </is>
      </c>
    </row>
    <row r="10">
      <c r="A10" s="19" t="inlineStr">
        <is>
          <t>Ituri</t>
        </is>
      </c>
      <c r="B10" s="19" t="inlineStr">
        <is>
          <t>Rwampara</t>
        </is>
      </c>
      <c r="C10" s="1" t="n"/>
      <c r="D10" s="19" t="inlineStr">
        <is>
          <t>ADRA</t>
        </is>
      </c>
      <c r="E10" s="19" t="inlineStr">
        <is>
          <t>intervention</t>
        </is>
      </c>
      <c r="F10" s="1" t="n"/>
      <c r="G10" s="19" t="inlineStr">
        <is>
          <t>config.yaml</t>
        </is>
      </c>
    </row>
    <row r="11">
      <c r="A11" s="19" t="inlineStr">
        <is>
          <t>Ituri</t>
        </is>
      </c>
      <c r="B11" s="19" t="inlineStr">
        <is>
          <t>Lita</t>
        </is>
      </c>
      <c r="C11" s="1" t="n"/>
      <c r="D11" s="19" t="inlineStr">
        <is>
          <t>ADRA</t>
        </is>
      </c>
      <c r="E11" s="19" t="inlineStr">
        <is>
          <t>intervention</t>
        </is>
      </c>
      <c r="F11" s="1" t="n"/>
      <c r="G11" s="19" t="inlineStr">
        <is>
          <t>config.yaml</t>
        </is>
      </c>
    </row>
    <row r="12">
      <c r="A12" s="19" t="inlineStr">
        <is>
          <t>Nord-Kivu</t>
        </is>
      </c>
      <c r="B12" s="19" t="inlineStr">
        <is>
          <t>Beni</t>
        </is>
      </c>
      <c r="C12" s="1" t="n"/>
      <c r="D12" s="19" t="inlineStr">
        <is>
          <t>IMC</t>
        </is>
      </c>
      <c r="E12" s="19" t="inlineStr">
        <is>
          <t>intervention</t>
        </is>
      </c>
      <c r="F12" s="1" t="n"/>
      <c r="G12" s="19" t="inlineStr">
        <is>
          <t>config.yaml</t>
        </is>
      </c>
    </row>
    <row r="13">
      <c r="A13" s="19" t="inlineStr">
        <is>
          <t>Nord-Kivu</t>
        </is>
      </c>
      <c r="B13" s="19" t="inlineStr">
        <is>
          <t>Katwa</t>
        </is>
      </c>
      <c r="C13" s="1" t="n"/>
      <c r="D13" s="19" t="inlineStr">
        <is>
          <t>IMC</t>
        </is>
      </c>
      <c r="E13" s="19" t="inlineStr">
        <is>
          <t>intervention</t>
        </is>
      </c>
      <c r="F13" s="1" t="n"/>
      <c r="G13" s="19" t="inlineStr">
        <is>
          <t>config.yaml</t>
        </is>
      </c>
    </row>
  </sheetData>
  <dataValidations count="4">
    <dataValidation sqref="A2:A5000" showDropDown="0" showInputMessage="0" showErrorMessage="1" allowBlank="1" errorTitle="Valeur non autorisée" error="Choisir une valeur dans la liste (feuille « listes »)." type="list">
      <formula1>=listes!$A$2:$A$8</formula1>
    </dataValidation>
    <dataValidation sqref="D2:D5000" showDropDown="0" showInputMessage="0" showErrorMessage="1" allowBlank="1" errorTitle="Valeur non autorisée" error="Choisir une valeur dans la liste (feuille « listes »)." type="list">
      <formula1>=listes!$B$2:$B$6</formula1>
    </dataValidation>
    <dataValidation sqref="E2:E5000" showDropDown="0" showInputMessage="0" showErrorMessage="1" allowBlank="1" errorTitle="Valeur non autorisée" error="Choisir une valeur dans la liste (feuille « listes »)." type="list">
      <formula1>=listes!$C$2:$C$4</formula1>
    </dataValidation>
    <dataValidation sqref="F2:F5000" showDropDown="0" showInputMessage="0" showErrorMessage="1" allowBlank="1" error="Nombre entier positif ou nul." type="whole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008EA9DB"/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5" customWidth="1" min="5" max="5"/>
    <col width="21" customWidth="1" min="6" max="6"/>
  </cols>
  <sheetData>
    <row r="1" ht="30" customHeight="1">
      <c r="A1" s="11" t="inlineStr">
        <is>
          <t>code_ip</t>
        </is>
      </c>
      <c r="B1" s="11" t="inlineStr">
        <is>
          <t>nom</t>
        </is>
      </c>
      <c r="C1" s="11" t="inlineStr">
        <is>
          <t>role</t>
        </is>
      </c>
      <c r="D1" s="11" t="inlineStr">
        <is>
          <t>provinces</t>
        </is>
      </c>
      <c r="E1" s="11" t="inlineStr">
        <is>
          <t>point_focal</t>
        </is>
      </c>
      <c r="F1" s="11" t="inlineStr">
        <is>
          <t>email_point_focal</t>
        </is>
      </c>
    </row>
    <row r="2">
      <c r="A2" s="19" t="inlineStr">
        <is>
          <t>WV</t>
        </is>
      </c>
      <c r="B2" s="19" t="inlineStr">
        <is>
          <t>World Vision RDC</t>
        </is>
      </c>
      <c r="C2" s="19" t="inlineStr">
        <is>
          <t>Partenaire de mise en oeuvre</t>
        </is>
      </c>
      <c r="D2" s="1" t="n"/>
      <c r="E2" s="1" t="n"/>
      <c r="F2" s="1" t="n"/>
    </row>
    <row r="3">
      <c r="A3" s="19" t="inlineStr">
        <is>
          <t>ADRA</t>
        </is>
      </c>
      <c r="B3" s="19" t="inlineStr">
        <is>
          <t>Adventist Development and Relief Agency</t>
        </is>
      </c>
      <c r="C3" s="19" t="inlineStr">
        <is>
          <t>Partenaire de mise en oeuvre</t>
        </is>
      </c>
      <c r="D3" s="1" t="n"/>
      <c r="E3" s="1" t="n"/>
      <c r="F3" s="1" t="n"/>
    </row>
    <row r="4">
      <c r="A4" s="19" t="inlineStr">
        <is>
          <t>IMC</t>
        </is>
      </c>
      <c r="B4" s="19" t="inlineStr">
        <is>
          <t>International Medical Corps</t>
        </is>
      </c>
      <c r="C4" s="19" t="inlineStr">
        <is>
          <t>Partenaire de mise en oeuvre</t>
        </is>
      </c>
      <c r="D4" s="1" t="n"/>
      <c r="E4" s="1" t="n"/>
      <c r="F4" s="1" t="n"/>
    </row>
    <row r="5">
      <c r="A5" s="19" t="inlineStr">
        <is>
          <t>IRC</t>
        </is>
      </c>
      <c r="B5" s="19" t="inlineStr">
        <is>
          <t>International Rescue Committee</t>
        </is>
      </c>
      <c r="C5" s="19" t="inlineStr">
        <is>
          <t>Partenaire de mise en oeuvre</t>
        </is>
      </c>
      <c r="D5" s="1" t="n"/>
      <c r="E5" s="1" t="n"/>
      <c r="F5" s="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008EA9DB"/>
    <outlinePr summaryBelow="1" summaryRight="1"/>
    <pageSetUpPr/>
  </sheetPr>
  <dimension ref="A1:V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48" customWidth="1" min="3" max="3"/>
    <col width="48" customWidth="1" min="4" max="4"/>
    <col width="12" customWidth="1" min="5" max="5"/>
    <col width="12" customWidth="1" min="6" max="6"/>
    <col width="48" customWidth="1" min="7" max="7"/>
    <col width="48" customWidth="1" min="8" max="8"/>
    <col width="18" customWidth="1" min="9" max="9"/>
    <col width="16" customWidth="1" min="10" max="10"/>
    <col width="13" customWidth="1" min="11" max="11"/>
    <col width="17" customWidth="1" min="12" max="12"/>
    <col width="13" customWidth="1" min="13" max="13"/>
    <col width="18" customWidth="1" min="14" max="14"/>
    <col width="17" customWidth="1" min="15" max="15"/>
    <col width="16" customWidth="1" min="16" max="16"/>
    <col width="16" customWidth="1" min="17" max="17"/>
    <col width="14" customWidth="1" min="18" max="18"/>
    <col width="19" customWidth="1" min="19" max="19"/>
    <col width="12" customWidth="1" min="20" max="20"/>
    <col width="12" customWidth="1" min="21" max="21"/>
    <col width="48" customWidth="1" min="22" max="22"/>
  </cols>
  <sheetData>
    <row r="1" ht="30" customHeight="1">
      <c r="A1" s="11" t="inlineStr">
        <is>
          <t>id_indicateur</t>
        </is>
      </c>
      <c r="B1" s="11" t="inlineStr">
        <is>
          <t>pilier</t>
        </is>
      </c>
      <c r="C1" s="11" t="inlineStr">
        <is>
          <t>libelle_fr</t>
        </is>
      </c>
      <c r="D1" s="11" t="inlineStr">
        <is>
          <t>libelle_en</t>
        </is>
      </c>
      <c r="E1" s="11" t="inlineStr">
        <is>
          <t>type</t>
        </is>
      </c>
      <c r="F1" s="11" t="inlineStr">
        <is>
          <t>niveau</t>
        </is>
      </c>
      <c r="G1" s="11" t="inlineStr">
        <is>
          <t>numerateur</t>
        </is>
      </c>
      <c r="H1" s="11" t="inlineStr">
        <is>
          <t>denominateur</t>
        </is>
      </c>
      <c r="I1" s="11" t="inlineStr">
        <is>
          <t>source_donnees</t>
        </is>
      </c>
      <c r="J1" s="11" t="inlineStr">
        <is>
          <t>champ_source</t>
        </is>
      </c>
      <c r="K1" s="11" t="inlineStr">
        <is>
          <t>frequence</t>
        </is>
      </c>
      <c r="L1" s="11" t="inlineStr">
        <is>
          <t>desagregation</t>
        </is>
      </c>
      <c r="M1" s="11" t="inlineStr">
        <is>
          <t>cible_dos</t>
        </is>
      </c>
      <c r="N1" s="11" t="inlineStr">
        <is>
          <t>cible_tranche5</t>
        </is>
      </c>
      <c r="O1" s="11" t="inlineStr">
        <is>
          <t>cible_dos_num</t>
        </is>
      </c>
      <c r="P1" s="11" t="inlineStr">
        <is>
          <t>cible_t5_num</t>
        </is>
      </c>
      <c r="Q1" s="11" t="inlineStr">
        <is>
          <t>seuil_alerte</t>
        </is>
      </c>
      <c r="R1" s="11" t="inlineStr">
        <is>
          <t>id_barclay</t>
        </is>
      </c>
      <c r="S1" s="11" t="inlineStr">
        <is>
          <t>id_cadre_global</t>
        </is>
      </c>
      <c r="T1" s="11" t="inlineStr">
        <is>
          <t>statut</t>
        </is>
      </c>
      <c r="U1" s="11" t="inlineStr">
        <is>
          <t>priorite</t>
        </is>
      </c>
      <c r="V1" s="11" t="inlineStr">
        <is>
          <t>commentaire</t>
        </is>
      </c>
    </row>
    <row r="2">
      <c r="A2" s="19" t="inlineStr">
        <is>
          <t>COORD-01</t>
        </is>
      </c>
      <c r="B2" s="19" t="inlineStr">
        <is>
          <t>COORD</t>
        </is>
      </c>
      <c r="C2" s="19" t="inlineStr">
        <is>
          <t>Matrices 4W élaborées et mises à jour</t>
        </is>
      </c>
      <c r="D2" s="19" t="inlineStr">
        <is>
          <t># of 4W matrices developed and updated</t>
        </is>
      </c>
      <c r="E2" s="19" t="inlineStr">
        <is>
          <t>Nombre</t>
        </is>
      </c>
      <c r="F2" s="19" t="inlineStr">
        <is>
          <t>Tier 2</t>
        </is>
      </c>
      <c r="G2" s="19" t="inlineStr">
        <is>
          <t>Matrices 4W (1 nationale, 3 provinciales) mises à jour dans le mois</t>
        </is>
      </c>
      <c r="H2" s="19" t="inlineStr">
        <is>
          <t>N/A</t>
        </is>
      </c>
      <c r="I2" s="19" t="inlineStr">
        <is>
          <t>Matrices 4W</t>
        </is>
      </c>
      <c r="J2" s="1" t="n"/>
      <c r="K2" s="19" t="inlineStr">
        <is>
          <t>Mensuelle</t>
        </is>
      </c>
      <c r="L2" s="19" t="inlineStr">
        <is>
          <t>Niveau (national, provincial)</t>
        </is>
      </c>
      <c r="M2" s="19" t="inlineStr">
        <is>
          <t>4</t>
        </is>
      </c>
      <c r="N2" s="1" t="n"/>
      <c r="O2" s="19" t="n">
        <v>4</v>
      </c>
      <c r="P2" s="1" t="n"/>
      <c r="Q2" s="1" t="n"/>
      <c r="R2" s="19" t="inlineStr">
        <is>
          <t>1.1</t>
        </is>
      </c>
      <c r="S2" s="1" t="n"/>
      <c r="T2" s="19" t="inlineStr">
        <is>
          <t>existant</t>
        </is>
      </c>
      <c r="U2" s="19" t="n">
        <v>2</v>
      </c>
      <c r="V2" s="1" t="n"/>
    </row>
    <row r="3">
      <c r="A3" s="19" t="inlineStr">
        <is>
          <t>COORD-02</t>
        </is>
      </c>
      <c r="B3" s="19" t="inlineStr">
        <is>
          <t>COORD</t>
        </is>
      </c>
      <c r="C3" s="19" t="inlineStr">
        <is>
          <t>Matrice des partenaires CGPP tenue à jour</t>
        </is>
      </c>
      <c r="D3" s="19" t="inlineStr">
        <is>
          <t># of CGPP partner matrices maintained</t>
        </is>
      </c>
      <c r="E3" s="19" t="inlineStr">
        <is>
          <t>Nombre</t>
        </is>
      </c>
      <c r="F3" s="19" t="inlineStr">
        <is>
          <t>Tier 2</t>
        </is>
      </c>
      <c r="G3" s="19" t="inlineStr">
        <is>
          <t>Matrices partenaires mises à jour</t>
        </is>
      </c>
      <c r="H3" s="19" t="inlineStr">
        <is>
          <t>N/A</t>
        </is>
      </c>
      <c r="I3" s="19" t="inlineStr">
        <is>
          <t>Matrice partenaires</t>
        </is>
      </c>
      <c r="J3" s="1" t="n"/>
      <c r="K3" s="19" t="inlineStr">
        <is>
          <t>Mensuelle</t>
        </is>
      </c>
      <c r="L3" s="1" t="n"/>
      <c r="M3" s="19" t="inlineStr">
        <is>
          <t>1</t>
        </is>
      </c>
      <c r="N3" s="1" t="n"/>
      <c r="O3" s="19" t="n">
        <v>1</v>
      </c>
      <c r="P3" s="1" t="n"/>
      <c r="Q3" s="1" t="n"/>
      <c r="R3" s="19" t="inlineStr">
        <is>
          <t>1.2</t>
        </is>
      </c>
      <c r="S3" s="1" t="n"/>
      <c r="T3" s="19" t="inlineStr">
        <is>
          <t>existant</t>
        </is>
      </c>
      <c r="U3" s="19" t="n">
        <v>3</v>
      </c>
      <c r="V3" s="1" t="n"/>
    </row>
    <row r="4">
      <c r="A4" s="19" t="inlineStr">
        <is>
          <t>COORD-03</t>
        </is>
      </c>
      <c r="B4" s="19" t="inlineStr">
        <is>
          <t>COORD</t>
        </is>
      </c>
      <c r="C4" s="19" t="inlineStr">
        <is>
          <t>Réunions de coordination auxquelles CGPP a participé ou qu'il a appuyées</t>
        </is>
      </c>
      <c r="D4" s="19" t="inlineStr">
        <is>
          <t># of coordination meetings participated in or supported</t>
        </is>
      </c>
      <c r="E4" s="19" t="inlineStr">
        <is>
          <t>Nombre</t>
        </is>
      </c>
      <c r="F4" s="19" t="inlineStr">
        <is>
          <t>Tier 2</t>
        </is>
      </c>
      <c r="G4" s="19" t="inlineStr">
        <is>
          <t>Réunions avec compte rendu et liste de présence complète</t>
        </is>
      </c>
      <c r="H4" s="19" t="inlineStr">
        <is>
          <t>N/A</t>
        </is>
      </c>
      <c r="I4" s="19" t="inlineStr">
        <is>
          <t>Feuille « reunions » de la base</t>
        </is>
      </c>
      <c r="J4" s="19" t="inlineStr">
        <is>
          <t>reunions</t>
        </is>
      </c>
      <c r="K4" s="19" t="inlineStr">
        <is>
          <t>Mensuelle</t>
        </is>
      </c>
      <c r="L4" s="19" t="inlineStr">
        <is>
          <t>Niveau, province</t>
        </is>
      </c>
      <c r="M4" s="19" t="inlineStr">
        <is>
          <t>90</t>
        </is>
      </c>
      <c r="N4" s="1" t="n"/>
      <c r="O4" s="19" t="n">
        <v>90</v>
      </c>
      <c r="P4" s="1" t="n"/>
      <c r="Q4" s="1" t="n"/>
      <c r="R4" s="19" t="inlineStr">
        <is>
          <t>1.3</t>
        </is>
      </c>
      <c r="S4" s="19" t="inlineStr">
        <is>
          <t>21</t>
        </is>
      </c>
      <c r="T4" s="19" t="inlineStr">
        <is>
          <t>à corriger</t>
        </is>
      </c>
      <c r="U4" s="19" t="n">
        <v>1</v>
      </c>
      <c r="V4" s="19" t="inlineStr">
        <is>
          <t>Ne compter que les réunions documentées (compte rendu + liste de présence complète).</t>
        </is>
      </c>
    </row>
    <row r="5">
      <c r="A5" s="19" t="inlineStr">
        <is>
          <t>COORD-04</t>
        </is>
      </c>
      <c r="B5" s="19" t="inlineStr">
        <is>
          <t>COORD</t>
        </is>
      </c>
      <c r="C5" s="19" t="inlineStr">
        <is>
          <t>Réunions bilatérales ou conjointes avec les partenaires financés par le DOS</t>
        </is>
      </c>
      <c r="D5" s="19" t="inlineStr">
        <is>
          <t># of bilateral/joint coordination meetings with DOS-funded partners</t>
        </is>
      </c>
      <c r="E5" s="19" t="inlineStr">
        <is>
          <t>Nombre</t>
        </is>
      </c>
      <c r="F5" s="19" t="inlineStr">
        <is>
          <t>Tier 2</t>
        </is>
      </c>
      <c r="G5" s="19" t="inlineStr">
        <is>
          <t>Réunions bilatérales/conjointes tenues</t>
        </is>
      </c>
      <c r="H5" s="19" t="inlineStr">
        <is>
          <t>N/A</t>
        </is>
      </c>
      <c r="I5" s="19" t="inlineStr">
        <is>
          <t>Notes de réunion</t>
        </is>
      </c>
      <c r="J5" s="19" t="inlineStr">
        <is>
          <t>reunions</t>
        </is>
      </c>
      <c r="K5" s="19" t="inlineStr">
        <is>
          <t>Mensuelle</t>
        </is>
      </c>
      <c r="L5" s="19" t="inlineStr">
        <is>
          <t>Partenaire</t>
        </is>
      </c>
      <c r="M5" s="19" t="inlineStr">
        <is>
          <t>12</t>
        </is>
      </c>
      <c r="N5" s="1" t="n"/>
      <c r="O5" s="19" t="n">
        <v>12</v>
      </c>
      <c r="P5" s="1" t="n"/>
      <c r="Q5" s="1" t="n"/>
      <c r="R5" s="19" t="inlineStr">
        <is>
          <t>1.4</t>
        </is>
      </c>
      <c r="S5" s="1" t="n"/>
      <c r="T5" s="19" t="inlineStr">
        <is>
          <t>existant</t>
        </is>
      </c>
      <c r="U5" s="19" t="n">
        <v>3</v>
      </c>
      <c r="V5" s="1" t="n"/>
    </row>
    <row r="6">
      <c r="A6" s="19" t="inlineStr">
        <is>
          <t>COORD-05</t>
        </is>
      </c>
      <c r="B6" s="19" t="inlineStr">
        <is>
          <t>COORD</t>
        </is>
      </c>
      <c r="C6" s="19" t="inlineStr">
        <is>
          <t>Réunions hebdomadaires de coordination CGPP</t>
        </is>
      </c>
      <c r="D6" s="19" t="inlineStr">
        <is>
          <t># of weekly CGPP coordination meetings conducted</t>
        </is>
      </c>
      <c r="E6" s="19" t="inlineStr">
        <is>
          <t>Nombre</t>
        </is>
      </c>
      <c r="F6" s="19" t="inlineStr">
        <is>
          <t>Tier 2</t>
        </is>
      </c>
      <c r="G6" s="19" t="inlineStr">
        <is>
          <t>Réunions internes hebdomadaires tenues</t>
        </is>
      </c>
      <c r="H6" s="19" t="inlineStr">
        <is>
          <t>N/A</t>
        </is>
      </c>
      <c r="I6" s="19" t="inlineStr">
        <is>
          <t>Comptes rendus</t>
        </is>
      </c>
      <c r="J6" s="19" t="inlineStr">
        <is>
          <t>reunions</t>
        </is>
      </c>
      <c r="K6" s="19" t="inlineStr">
        <is>
          <t>Hebdomadaire</t>
        </is>
      </c>
      <c r="L6" s="1" t="n"/>
      <c r="M6" s="19" t="inlineStr">
        <is>
          <t>16</t>
        </is>
      </c>
      <c r="N6" s="1" t="n"/>
      <c r="O6" s="19" t="n">
        <v>16</v>
      </c>
      <c r="P6" s="1" t="n"/>
      <c r="Q6" s="1" t="n"/>
      <c r="R6" s="19" t="inlineStr">
        <is>
          <t>1.5</t>
        </is>
      </c>
      <c r="S6" s="1" t="n"/>
      <c r="T6" s="19" t="inlineStr">
        <is>
          <t>existant</t>
        </is>
      </c>
      <c r="U6" s="19" t="n">
        <v>3</v>
      </c>
      <c r="V6" s="1" t="n"/>
    </row>
    <row r="7">
      <c r="A7" s="19" t="inlineStr">
        <is>
          <t>COORD-06</t>
        </is>
      </c>
      <c r="B7" s="19" t="inlineStr">
        <is>
          <t>COORD</t>
        </is>
      </c>
      <c r="C7" s="19" t="inlineStr">
        <is>
          <t>Réunions de revue provinciales</t>
        </is>
      </c>
      <c r="D7" s="19" t="inlineStr">
        <is>
          <t># of provincial review meetings conducted</t>
        </is>
      </c>
      <c r="E7" s="19" t="inlineStr">
        <is>
          <t>Nombre</t>
        </is>
      </c>
      <c r="F7" s="19" t="inlineStr">
        <is>
          <t>Tier 2</t>
        </is>
      </c>
      <c r="G7" s="19" t="inlineStr">
        <is>
          <t>Revues provinciales tenues</t>
        </is>
      </c>
      <c r="H7" s="19" t="inlineStr">
        <is>
          <t>N/A</t>
        </is>
      </c>
      <c r="I7" s="19" t="inlineStr">
        <is>
          <t>Rapports de revue</t>
        </is>
      </c>
      <c r="J7" s="19" t="inlineStr">
        <is>
          <t>reunions</t>
        </is>
      </c>
      <c r="K7" s="19" t="inlineStr">
        <is>
          <t>Mensuelle</t>
        </is>
      </c>
      <c r="L7" s="19" t="inlineStr">
        <is>
          <t>Province</t>
        </is>
      </c>
      <c r="M7" s="19" t="inlineStr">
        <is>
          <t>12</t>
        </is>
      </c>
      <c r="N7" s="1" t="n"/>
      <c r="O7" s="19" t="n">
        <v>12</v>
      </c>
      <c r="P7" s="1" t="n"/>
      <c r="Q7" s="1" t="n"/>
      <c r="R7" s="19" t="inlineStr">
        <is>
          <t>1.6</t>
        </is>
      </c>
      <c r="S7" s="1" t="n"/>
      <c r="T7" s="19" t="inlineStr">
        <is>
          <t>existant</t>
        </is>
      </c>
      <c r="U7" s="19" t="n">
        <v>3</v>
      </c>
      <c r="V7" s="1" t="n"/>
    </row>
    <row r="8">
      <c r="A8" s="19" t="inlineStr">
        <is>
          <t>COORD-07</t>
        </is>
      </c>
      <c r="B8" s="19" t="inlineStr">
        <is>
          <t>COORD</t>
        </is>
      </c>
      <c r="C8" s="19" t="inlineStr">
        <is>
          <t>Outil harmonisé de suivi EIR et de rapportage mis en place</t>
        </is>
      </c>
      <c r="D8" s="19" t="inlineStr">
        <is>
          <t># of RRT/data reporting trackers established</t>
        </is>
      </c>
      <c r="E8" s="19" t="inlineStr">
        <is>
          <t>Nombre</t>
        </is>
      </c>
      <c r="F8" s="19" t="inlineStr">
        <is>
          <t>Tier 2</t>
        </is>
      </c>
      <c r="G8" s="19" t="inlineStr">
        <is>
          <t>Outil en service</t>
        </is>
      </c>
      <c r="H8" s="19" t="inlineStr">
        <is>
          <t>N/A</t>
        </is>
      </c>
      <c r="I8" s="19" t="inlineStr">
        <is>
          <t>Outil de suivi</t>
        </is>
      </c>
      <c r="J8" s="1" t="n"/>
      <c r="K8" s="19" t="inlineStr">
        <is>
          <t>Mensuelle</t>
        </is>
      </c>
      <c r="L8" s="1" t="n"/>
      <c r="M8" s="19" t="inlineStr">
        <is>
          <t>1</t>
        </is>
      </c>
      <c r="N8" s="1" t="n"/>
      <c r="O8" s="19" t="n">
        <v>1</v>
      </c>
      <c r="P8" s="1" t="n"/>
      <c r="Q8" s="1" t="n"/>
      <c r="R8" s="19" t="inlineStr">
        <is>
          <t>1.7</t>
        </is>
      </c>
      <c r="S8" s="1" t="n"/>
      <c r="T8" s="19" t="inlineStr">
        <is>
          <t>existant</t>
        </is>
      </c>
      <c r="U8" s="19" t="n">
        <v>1</v>
      </c>
      <c r="V8" s="19" t="inlineStr">
        <is>
          <t>La base Excel normalisée et la chaîne Python décrites dans ce rapport peuvent tenir ce rôle.</t>
        </is>
      </c>
    </row>
    <row r="9">
      <c r="A9" s="19" t="inlineStr">
        <is>
          <t>COORD-08</t>
        </is>
      </c>
      <c r="B9" s="19" t="inlineStr">
        <is>
          <t>COORD</t>
        </is>
      </c>
      <c r="C9" s="19" t="inlineStr">
        <is>
          <t>Mises à jour quotidiennes de terrain transmises</t>
        </is>
      </c>
      <c r="D9" s="19" t="inlineStr">
        <is>
          <t># of daily field updates submitted</t>
        </is>
      </c>
      <c r="E9" s="19" t="inlineStr">
        <is>
          <t>Nombre</t>
        </is>
      </c>
      <c r="F9" s="19" t="inlineStr">
        <is>
          <t>Tier 2</t>
        </is>
      </c>
      <c r="G9" s="19" t="inlineStr">
        <is>
          <t>Mises à jour quotidiennes transmises</t>
        </is>
      </c>
      <c r="H9" s="19" t="inlineStr">
        <is>
          <t>N/A</t>
        </is>
      </c>
      <c r="I9" s="19" t="inlineStr">
        <is>
          <t>Journal des envois</t>
        </is>
      </c>
      <c r="J9" s="1" t="n"/>
      <c r="K9" s="19" t="inlineStr">
        <is>
          <t>Quotidienne</t>
        </is>
      </c>
      <c r="L9" s="19" t="inlineStr">
        <is>
          <t>IP</t>
        </is>
      </c>
      <c r="M9" s="19" t="inlineStr">
        <is>
          <t>110</t>
        </is>
      </c>
      <c r="N9" s="1" t="n"/>
      <c r="O9" s="19" t="n">
        <v>110</v>
      </c>
      <c r="P9" s="1" t="n"/>
      <c r="Q9" s="1" t="n"/>
      <c r="R9" s="19" t="inlineStr">
        <is>
          <t>1.8</t>
        </is>
      </c>
      <c r="S9" s="1" t="n"/>
      <c r="T9" s="19" t="inlineStr">
        <is>
          <t>existant</t>
        </is>
      </c>
      <c r="U9" s="19" t="n">
        <v>2</v>
      </c>
      <c r="V9" s="1" t="n"/>
    </row>
    <row r="10">
      <c r="A10" s="19" t="inlineStr">
        <is>
          <t>COORD-09</t>
        </is>
      </c>
      <c r="B10" s="19" t="inlineStr">
        <is>
          <t>COORD</t>
        </is>
      </c>
      <c r="C10" s="19" t="inlineStr">
        <is>
          <t>Mises à jour hebdomadaires de coordination transmises</t>
        </is>
      </c>
      <c r="D10" s="19" t="inlineStr">
        <is>
          <t># of weekly coordination updates submitted</t>
        </is>
      </c>
      <c r="E10" s="19" t="inlineStr">
        <is>
          <t>Nombre</t>
        </is>
      </c>
      <c r="F10" s="19" t="inlineStr">
        <is>
          <t>Tier 2</t>
        </is>
      </c>
      <c r="G10" s="19" t="inlineStr">
        <is>
          <t>Mises à jour hebdomadaires transmises</t>
        </is>
      </c>
      <c r="H10" s="19" t="inlineStr">
        <is>
          <t>N/A</t>
        </is>
      </c>
      <c r="I10" s="19" t="inlineStr">
        <is>
          <t>Journal des envois</t>
        </is>
      </c>
      <c r="J10" s="1" t="n"/>
      <c r="K10" s="19" t="inlineStr">
        <is>
          <t>Hebdomadaire</t>
        </is>
      </c>
      <c r="L10" s="1" t="n"/>
      <c r="M10" s="19" t="inlineStr">
        <is>
          <t>16</t>
        </is>
      </c>
      <c r="N10" s="1" t="n"/>
      <c r="O10" s="19" t="n">
        <v>16</v>
      </c>
      <c r="P10" s="1" t="n"/>
      <c r="Q10" s="1" t="n"/>
      <c r="R10" s="19" t="inlineStr">
        <is>
          <t>1.9</t>
        </is>
      </c>
      <c r="S10" s="1" t="n"/>
      <c r="T10" s="19" t="inlineStr">
        <is>
          <t>à corriger</t>
        </is>
      </c>
      <c r="U10" s="19" t="n">
        <v>2</v>
      </c>
      <c r="V10" s="19" t="inlineStr">
        <is>
          <t>Le plan DOS indique 16 (extrants du pilier 1) et 18 (activité 1.5) : arrêter une seule cible.</t>
        </is>
      </c>
    </row>
    <row r="11">
      <c r="A11" s="19" t="inlineStr">
        <is>
          <t>COORD-10</t>
        </is>
      </c>
      <c r="B11" s="19" t="inlineStr">
        <is>
          <t>COORD</t>
        </is>
      </c>
      <c r="C11" s="19" t="inlineStr">
        <is>
          <t>Séances de négociation ou de médiation de crise avec le pilier CREC</t>
        </is>
      </c>
      <c r="D11" s="19" t="inlineStr">
        <is>
          <t># of crisis negotiation/mediation sessions conducted with CREC Pillar</t>
        </is>
      </c>
      <c r="E11" s="19" t="inlineStr">
        <is>
          <t>Nombre</t>
        </is>
      </c>
      <c r="F11" s="19" t="inlineStr">
        <is>
          <t>Tier 2</t>
        </is>
      </c>
      <c r="G11" s="19" t="inlineStr">
        <is>
          <t>Séances tenues</t>
        </is>
      </c>
      <c r="H11" s="19" t="inlineStr">
        <is>
          <t>N/A</t>
        </is>
      </c>
      <c r="I11" s="19" t="inlineStr">
        <is>
          <t>Rapports de négociation</t>
        </is>
      </c>
      <c r="J11" s="1" t="n"/>
      <c r="K11" s="19" t="inlineStr">
        <is>
          <t>Selon besoin</t>
        </is>
      </c>
      <c r="L11" s="1" t="n"/>
      <c r="M11" s="19" t="inlineStr">
        <is>
          <t>4</t>
        </is>
      </c>
      <c r="N11" s="1" t="n"/>
      <c r="O11" s="19" t="n">
        <v>4</v>
      </c>
      <c r="P11" s="1" t="n"/>
      <c r="Q11" s="1" t="n"/>
      <c r="R11" s="19" t="inlineStr">
        <is>
          <t>1.10</t>
        </is>
      </c>
      <c r="S11" s="1" t="n"/>
      <c r="T11" s="19" t="inlineStr">
        <is>
          <t>existant</t>
        </is>
      </c>
      <c r="U11" s="19" t="n">
        <v>3</v>
      </c>
      <c r="V11" s="1" t="n"/>
    </row>
    <row r="12">
      <c r="A12" s="19" t="inlineStr">
        <is>
          <t>COORD-11</t>
        </is>
      </c>
      <c r="B12" s="19" t="inlineStr">
        <is>
          <t>COORD</t>
        </is>
      </c>
      <c r="C12" s="19" t="inlineStr">
        <is>
          <t>Réunions de coordination transfrontalière</t>
        </is>
      </c>
      <c r="D12" s="19" t="inlineStr">
        <is>
          <t># of cross-border coordination meetings held</t>
        </is>
      </c>
      <c r="E12" s="19" t="inlineStr">
        <is>
          <t>Nombre</t>
        </is>
      </c>
      <c r="F12" s="19" t="inlineStr">
        <is>
          <t>Tier 2</t>
        </is>
      </c>
      <c r="G12" s="19" t="inlineStr">
        <is>
          <t>Réunions transfrontalières tenues</t>
        </is>
      </c>
      <c r="H12" s="19" t="inlineStr">
        <is>
          <t>N/A</t>
        </is>
      </c>
      <c r="I12" s="19" t="inlineStr">
        <is>
          <t>Comptes rendus</t>
        </is>
      </c>
      <c r="J12" s="19" t="inlineStr">
        <is>
          <t>reunions</t>
        </is>
      </c>
      <c r="K12" s="19" t="inlineStr">
        <is>
          <t>Mensuelle</t>
        </is>
      </c>
      <c r="L12" s="19" t="inlineStr">
        <is>
          <t>Frontière</t>
        </is>
      </c>
      <c r="M12" s="19" t="inlineStr">
        <is>
          <t>6</t>
        </is>
      </c>
      <c r="N12" s="19" t="inlineStr">
        <is>
          <t>100 échanges transfrontaliers ou interprovinciaux</t>
        </is>
      </c>
      <c r="O12" s="19" t="n">
        <v>6</v>
      </c>
      <c r="P12" s="1" t="n"/>
      <c r="Q12" s="1" t="n"/>
      <c r="R12" s="19" t="inlineStr">
        <is>
          <t>1.11</t>
        </is>
      </c>
      <c r="S12" s="1" t="n"/>
      <c r="T12" s="19" t="inlineStr">
        <is>
          <t>existant</t>
        </is>
      </c>
      <c r="U12" s="19" t="n">
        <v>3</v>
      </c>
      <c r="V12" s="1" t="n"/>
    </row>
    <row r="13">
      <c r="A13" s="19" t="inlineStr">
        <is>
          <t>COORD-12</t>
        </is>
      </c>
      <c r="B13" s="19" t="inlineStr">
        <is>
          <t>COORD</t>
        </is>
      </c>
      <c r="C13" s="19" t="inlineStr">
        <is>
          <t>Points d'action des réunions réalisés dans les délais</t>
        </is>
      </c>
      <c r="D13" s="19" t="inlineStr">
        <is>
          <t>% of action points generated and followed up</t>
        </is>
      </c>
      <c r="E13" s="19" t="inlineStr">
        <is>
          <t>Pourcentage</t>
        </is>
      </c>
      <c r="F13" s="19" t="inlineStr">
        <is>
          <t>Tier 1</t>
        </is>
      </c>
      <c r="G13" s="19" t="inlineStr">
        <is>
          <t>Points d'action réalisés à l'échéance</t>
        </is>
      </c>
      <c r="H13" s="19" t="inlineStr">
        <is>
          <t>Points d'action arrivés à échéance</t>
        </is>
      </c>
      <c r="I13" s="19" t="inlineStr">
        <is>
          <t>Feuille « points_action » de la base</t>
        </is>
      </c>
      <c r="J13" s="19" t="inlineStr">
        <is>
          <t>points_action</t>
        </is>
      </c>
      <c r="K13" s="19" t="inlineStr">
        <is>
          <t>Mensuelle</t>
        </is>
      </c>
      <c r="L13" s="19" t="inlineStr">
        <is>
          <t>Niveau de réunion</t>
        </is>
      </c>
      <c r="M13" s="19" t="inlineStr">
        <is>
          <t>100 %</t>
        </is>
      </c>
      <c r="N13" s="1" t="n"/>
      <c r="O13" s="19" t="n">
        <v>100</v>
      </c>
      <c r="P13" s="1" t="n"/>
      <c r="Q13" s="19" t="inlineStr">
        <is>
          <t>&lt; 70 % : rouge</t>
        </is>
      </c>
      <c r="R13" s="19" t="inlineStr">
        <is>
          <t>1.12</t>
        </is>
      </c>
      <c r="S13" s="1" t="n"/>
      <c r="T13" s="19" t="inlineStr">
        <is>
          <t>à corriger</t>
        </is>
      </c>
      <c r="U13" s="19" t="n">
        <v>1</v>
      </c>
      <c r="V13" s="19" t="inlineStr">
        <is>
          <t>Intitulé « # » alors que c'est un pourcentage ; cible codée 1 ; les comptes rendus actuels ne listent pas de points d'action.</t>
        </is>
      </c>
    </row>
    <row r="14">
      <c r="A14" s="19" t="inlineStr">
        <is>
          <t>SURV-01</t>
        </is>
      </c>
      <c r="B14" s="19" t="inlineStr">
        <is>
          <t>SURV</t>
        </is>
      </c>
      <c r="C14" s="19" t="inlineStr">
        <is>
          <t>Contacts listés et suivis</t>
        </is>
      </c>
      <c r="D14" s="19" t="inlineStr">
        <is>
          <t># of contacts line-listed and monitored</t>
        </is>
      </c>
      <c r="E14" s="19" t="inlineStr">
        <is>
          <t>Nombre</t>
        </is>
      </c>
      <c r="F14" s="19" t="inlineStr">
        <is>
          <t>Tier 1</t>
        </is>
      </c>
      <c r="G14" s="19" t="inlineStr">
        <is>
          <t>Contacts listés (cas confirmés, probables, suspects) entrés dans le système de suivi</t>
        </is>
      </c>
      <c r="H14" s="19" t="inlineStr">
        <is>
          <t>N/A</t>
        </is>
      </c>
      <c r="I14" s="19" t="inlineStr">
        <is>
          <t>Liste des contacts ; Fiche SBC journalière (ODK)</t>
        </is>
      </c>
      <c r="J14" s="19" t="inlineStr">
        <is>
          <t>contacts_listes_h + contacts_listes_f</t>
        </is>
      </c>
      <c r="K14" s="19" t="inlineStr">
        <is>
          <t>Hebdomadaire</t>
        </is>
      </c>
      <c r="L14" s="19" t="inlineStr">
        <is>
          <t>Sexe, âge, ZS, niveau de risque</t>
        </is>
      </c>
      <c r="M14" s="19" t="inlineStr">
        <is>
          <t>2 000</t>
        </is>
      </c>
      <c r="N14" s="19" t="inlineStr">
        <is>
          <t>30 000</t>
        </is>
      </c>
      <c r="O14" s="19" t="n">
        <v>2000</v>
      </c>
      <c r="P14" s="19" t="n">
        <v>30000</v>
      </c>
      <c r="Q14" s="1" t="n"/>
      <c r="R14" s="19" t="inlineStr">
        <is>
          <t>2.1</t>
        </is>
      </c>
      <c r="S14" s="19" t="inlineStr">
        <is>
          <t>8</t>
        </is>
      </c>
      <c r="T14" s="19" t="inlineStr">
        <is>
          <t>existant</t>
        </is>
      </c>
      <c r="U14" s="19" t="n">
        <v>1</v>
      </c>
      <c r="V14" s="1" t="n"/>
    </row>
    <row r="15">
      <c r="A15" s="19" t="inlineStr">
        <is>
          <t>SURV-02</t>
        </is>
      </c>
      <c r="B15" s="19" t="inlineStr">
        <is>
          <t>SURV</t>
        </is>
      </c>
      <c r="C15" s="19" t="inlineStr">
        <is>
          <t>Contacts suivis chaque jour pendant les 21 jours</t>
        </is>
      </c>
      <c r="D15" s="19" t="inlineStr">
        <is>
          <t>% of listed contacts followed daily during 21-day follow-up</t>
        </is>
      </c>
      <c r="E15" s="19" t="inlineStr">
        <is>
          <t>Pourcentage</t>
        </is>
      </c>
      <c r="F15" s="19" t="inlineStr">
        <is>
          <t>Tier 1</t>
        </is>
      </c>
      <c r="G15" s="19" t="inlineStr">
        <is>
          <t>Contacts-jours vus</t>
        </is>
      </c>
      <c r="H15" s="19" t="inlineStr">
        <is>
          <t>Contacts-jours attendus (contacts sous suivi x jours)</t>
        </is>
      </c>
      <c r="I15" s="19" t="inlineStr">
        <is>
          <t>Fiche SBC journalière (ODK)</t>
        </is>
      </c>
      <c r="J15" s="19" t="inlineStr">
        <is>
          <t>contacts_vus / contacts_sous_suivi</t>
        </is>
      </c>
      <c r="K15" s="19" t="inlineStr">
        <is>
          <t>Hebdomadaire</t>
        </is>
      </c>
      <c r="L15" s="19" t="inlineStr">
        <is>
          <t>ZS, sexe</t>
        </is>
      </c>
      <c r="M15" s="19" t="inlineStr">
        <is>
          <t>≥ 90 %</t>
        </is>
      </c>
      <c r="N15" s="19" t="inlineStr">
        <is>
          <t>≥ 90 %</t>
        </is>
      </c>
      <c r="O15" s="19" t="n">
        <v>90</v>
      </c>
      <c r="P15" s="19" t="n">
        <v>90</v>
      </c>
      <c r="Q15" s="19" t="inlineStr">
        <is>
          <t>&lt; 90 % : rouge</t>
        </is>
      </c>
      <c r="R15" s="19" t="inlineStr">
        <is>
          <t>2.2</t>
        </is>
      </c>
      <c r="S15" s="19" t="inlineStr">
        <is>
          <t>9</t>
        </is>
      </c>
      <c r="T15" s="19" t="inlineStr">
        <is>
          <t>à corriger</t>
        </is>
      </c>
      <c r="U15" s="19" t="n">
        <v>1</v>
      </c>
      <c r="V15" s="19" t="inlineStr">
        <is>
          <t>La définition actuelle mélange le suivi quotidien et l'issue à J21 : l'issue devient SURV-21.</t>
        </is>
      </c>
    </row>
    <row r="16">
      <c r="A16" s="19" t="inlineStr">
        <is>
          <t>SURV-03</t>
        </is>
      </c>
      <c r="B16" s="19" t="inlineStr">
        <is>
          <t>SURV</t>
        </is>
      </c>
      <c r="C16" s="19" t="inlineStr">
        <is>
          <t>Investigations de cas réalisées</t>
        </is>
      </c>
      <c r="D16" s="19" t="inlineStr">
        <is>
          <t># of case investigations conducted</t>
        </is>
      </c>
      <c r="E16" s="19" t="inlineStr">
        <is>
          <t>Nombre</t>
        </is>
      </c>
      <c r="F16" s="19" t="inlineStr">
        <is>
          <t>Tier 2</t>
        </is>
      </c>
      <c r="G16" s="19" t="inlineStr">
        <is>
          <t>Investigations (cas confirmés, probables, suspects) appuyées</t>
        </is>
      </c>
      <c r="H16" s="19" t="inlineStr">
        <is>
          <t>N/A</t>
        </is>
      </c>
      <c r="I16" s="19" t="inlineStr">
        <is>
          <t>Rapports d'investigation</t>
        </is>
      </c>
      <c r="J16" s="1" t="n"/>
      <c r="K16" s="19" t="inlineStr">
        <is>
          <t>Hebdomadaire</t>
        </is>
      </c>
      <c r="L16" s="19" t="inlineStr">
        <is>
          <t>ZS, classification</t>
        </is>
      </c>
      <c r="M16" s="19" t="inlineStr">
        <is>
          <t>300</t>
        </is>
      </c>
      <c r="N16" s="19" t="inlineStr">
        <is>
          <t>2 000</t>
        </is>
      </c>
      <c r="O16" s="19" t="n">
        <v>300</v>
      </c>
      <c r="P16" s="19" t="n">
        <v>2000</v>
      </c>
      <c r="Q16" s="1" t="n"/>
      <c r="R16" s="19" t="inlineStr">
        <is>
          <t>2.3</t>
        </is>
      </c>
      <c r="S16" s="1" t="n"/>
      <c r="T16" s="19" t="inlineStr">
        <is>
          <t>existant</t>
        </is>
      </c>
      <c r="U16" s="19" t="n">
        <v>2</v>
      </c>
      <c r="V16" s="1" t="n"/>
    </row>
    <row r="17">
      <c r="A17" s="19" t="inlineStr">
        <is>
          <t>SURV-04</t>
        </is>
      </c>
      <c r="B17" s="19" t="inlineStr">
        <is>
          <t>SURV</t>
        </is>
      </c>
      <c r="C17" s="19" t="inlineStr">
        <is>
          <t>Cartographies d'exposition réalisées</t>
        </is>
      </c>
      <c r="D17" s="19" t="inlineStr">
        <is>
          <t># of exposure mappings conducted</t>
        </is>
      </c>
      <c r="E17" s="19" t="inlineStr">
        <is>
          <t>Nombre</t>
        </is>
      </c>
      <c r="F17" s="19" t="inlineStr">
        <is>
          <t>Tier 2</t>
        </is>
      </c>
      <c r="G17" s="19" t="inlineStr">
        <is>
          <t>Cartographies d'exposition autour d'un cas</t>
        </is>
      </c>
      <c r="H17" s="19" t="inlineStr">
        <is>
          <t>N/A</t>
        </is>
      </c>
      <c r="I17" s="19" t="inlineStr">
        <is>
          <t>Rapports de cartographie</t>
        </is>
      </c>
      <c r="J17" s="1" t="n"/>
      <c r="K17" s="19" t="inlineStr">
        <is>
          <t>Hebdomadaire</t>
        </is>
      </c>
      <c r="L17" s="19" t="inlineStr">
        <is>
          <t>ZS</t>
        </is>
      </c>
      <c r="M17" s="19" t="inlineStr">
        <is>
          <t>300</t>
        </is>
      </c>
      <c r="N17" s="19" t="inlineStr">
        <is>
          <t>Incluses dans les 2 000 investigations</t>
        </is>
      </c>
      <c r="O17" s="19" t="n">
        <v>300</v>
      </c>
      <c r="P17" s="1" t="n"/>
      <c r="Q17" s="1" t="n"/>
      <c r="R17" s="19" t="inlineStr">
        <is>
          <t>2.4</t>
        </is>
      </c>
      <c r="S17" s="1" t="n"/>
      <c r="T17" s="19" t="inlineStr">
        <is>
          <t>existant</t>
        </is>
      </c>
      <c r="U17" s="19" t="n">
        <v>3</v>
      </c>
      <c r="V17" s="1" t="n"/>
    </row>
    <row r="18">
      <c r="A18" s="19" t="inlineStr">
        <is>
          <t>SURV-05</t>
        </is>
      </c>
      <c r="B18" s="19" t="inlineStr">
        <is>
          <t>SURV</t>
        </is>
      </c>
      <c r="C18" s="19" t="inlineStr">
        <is>
          <t>Alertes de suspicion de MVE détectées par les systèmes appuyés par CGPP</t>
        </is>
      </c>
      <c r="D18" s="19" t="inlineStr">
        <is>
          <t># of suspected EVD alerts detected through CGPP-supported systems</t>
        </is>
      </c>
      <c r="E18" s="19" t="inlineStr">
        <is>
          <t>Nombre</t>
        </is>
      </c>
      <c r="F18" s="19" t="inlineStr">
        <is>
          <t>Tier 1</t>
        </is>
      </c>
      <c r="G18" s="19" t="inlineStr">
        <is>
          <t>Alertes (malades et décès) détectées par les canaux appuyés par CGPP</t>
        </is>
      </c>
      <c r="H18" s="19" t="inlineStr">
        <is>
          <t>N/A</t>
        </is>
      </c>
      <c r="I18" s="19" t="inlineStr">
        <is>
          <t>Fiche SBC journalière (ODK)</t>
        </is>
      </c>
      <c r="J18" s="19" t="inlineStr">
        <is>
          <t>alertes_malades + alertes_deces</t>
        </is>
      </c>
      <c r="K18" s="19" t="inlineStr">
        <is>
          <t>Hebdomadaire</t>
        </is>
      </c>
      <c r="L18" s="19" t="inlineStr">
        <is>
          <t>Type (malade/décès), source, ZS</t>
        </is>
      </c>
      <c r="M18" s="19" t="inlineStr">
        <is>
          <t>1 500</t>
        </is>
      </c>
      <c r="N18" s="19" t="inlineStr">
        <is>
          <t>35 000</t>
        </is>
      </c>
      <c r="O18" s="19" t="n">
        <v>1500</v>
      </c>
      <c r="P18" s="19" t="n">
        <v>35000</v>
      </c>
      <c r="Q18" s="1" t="n"/>
      <c r="R18" s="19" t="inlineStr">
        <is>
          <t>2.5</t>
        </is>
      </c>
      <c r="S18" s="19" t="inlineStr">
        <is>
          <t>1</t>
        </is>
      </c>
      <c r="T18" s="19" t="inlineStr">
        <is>
          <t>existant</t>
        </is>
      </c>
      <c r="U18" s="19" t="n">
        <v>1</v>
      </c>
      <c r="V18" s="1" t="n"/>
    </row>
    <row r="19">
      <c r="A19" s="19" t="inlineStr">
        <is>
          <t>SURV-06</t>
        </is>
      </c>
      <c r="B19" s="19" t="inlineStr">
        <is>
          <t>SURV</t>
        </is>
      </c>
      <c r="C19" s="19" t="inlineStr">
        <is>
          <t>Alertes CGPP vérifiées en 24 h</t>
        </is>
      </c>
      <c r="D19" s="19" t="inlineStr">
        <is>
          <t>% of suspected EVD alerts reported by CGPP verified within 24 hours</t>
        </is>
      </c>
      <c r="E19" s="19" t="inlineStr">
        <is>
          <t>Pourcentage</t>
        </is>
      </c>
      <c r="F19" s="19" t="inlineStr">
        <is>
          <t>Tier 1</t>
        </is>
      </c>
      <c r="G19" s="19" t="inlineStr">
        <is>
          <t>Alertes vérifiées par l'ESS/EIR dans les 24 h</t>
        </is>
      </c>
      <c r="H19" s="19" t="inlineStr">
        <is>
          <t>Alertes reçues</t>
        </is>
      </c>
      <c r="I19" s="19" t="inlineStr">
        <is>
          <t>Fiche SBC journalière (ODK)</t>
        </is>
      </c>
      <c r="J19" s="19" t="inlineStr">
        <is>
          <t>alertes_verifiees_24h (nouveau champ) / alertes</t>
        </is>
      </c>
      <c r="K19" s="19" t="inlineStr">
        <is>
          <t>Hebdomadaire</t>
        </is>
      </c>
      <c r="L19" s="19" t="inlineStr">
        <is>
          <t>ZS</t>
        </is>
      </c>
      <c r="M19" s="19" t="inlineStr">
        <is>
          <t>≥ 80 %</t>
        </is>
      </c>
      <c r="N19" s="19" t="inlineStr">
        <is>
          <t>≥ 85 %</t>
        </is>
      </c>
      <c r="O19" s="19" t="n">
        <v>80</v>
      </c>
      <c r="P19" s="19" t="n">
        <v>85</v>
      </c>
      <c r="Q19" s="19" t="inlineStr">
        <is>
          <t>&lt; 80 % : rouge</t>
        </is>
      </c>
      <c r="R19" s="19" t="inlineStr">
        <is>
          <t>2.6</t>
        </is>
      </c>
      <c r="S19" s="19" t="inlineStr">
        <is>
          <t>3</t>
        </is>
      </c>
      <c r="T19" s="19" t="inlineStr">
        <is>
          <t>à corriger</t>
        </is>
      </c>
      <c r="U19" s="19" t="n">
        <v>1</v>
      </c>
      <c r="V19" s="19" t="inlineStr">
        <is>
          <t>Aucun champ ne mesure la vérification dans la fiche SBC actuelle.</t>
        </is>
      </c>
    </row>
    <row r="20">
      <c r="A20" s="19" t="inlineStr">
        <is>
          <t>SURV-07</t>
        </is>
      </c>
      <c r="B20" s="19" t="inlineStr">
        <is>
          <t>SURV</t>
        </is>
      </c>
      <c r="C20" s="19" t="inlineStr">
        <is>
          <t>Alertes notifiées aux autorités en 24 h</t>
        </is>
      </c>
      <c r="D20" s="19" t="inlineStr">
        <is>
          <t>% of suspected EVD alerts notified to authorities within 24 hours</t>
        </is>
      </c>
      <c r="E20" s="19" t="inlineStr">
        <is>
          <t>Pourcentage</t>
        </is>
      </c>
      <c r="F20" s="19" t="inlineStr">
        <is>
          <t>Tier 1</t>
        </is>
      </c>
      <c r="G20" s="19" t="inlineStr">
        <is>
          <t>Alertes signalées au centre de santé dans les 24 h</t>
        </is>
      </c>
      <c r="H20" s="19" t="inlineStr">
        <is>
          <t>Alertes détectées</t>
        </is>
      </c>
      <c r="I20" s="19" t="inlineStr">
        <is>
          <t>Fiche SBC journalière (ODK)</t>
        </is>
      </c>
      <c r="J20" s="19" t="inlineStr">
        <is>
          <t>alertes_*_notifiees_24h / alertes</t>
        </is>
      </c>
      <c r="K20" s="19" t="inlineStr">
        <is>
          <t>Hebdomadaire</t>
        </is>
      </c>
      <c r="L20" s="19" t="inlineStr">
        <is>
          <t>ZS</t>
        </is>
      </c>
      <c r="M20" s="19" t="inlineStr">
        <is>
          <t>100 %</t>
        </is>
      </c>
      <c r="N20" s="1" t="n"/>
      <c r="O20" s="19" t="n">
        <v>100</v>
      </c>
      <c r="P20" s="1" t="n"/>
      <c r="Q20" s="19" t="inlineStr">
        <is>
          <t>&lt; 90 % : rouge</t>
        </is>
      </c>
      <c r="R20" s="19" t="inlineStr">
        <is>
          <t>2.7</t>
        </is>
      </c>
      <c r="S20" s="19" t="inlineStr">
        <is>
          <t>4</t>
        </is>
      </c>
      <c r="T20" s="19" t="inlineStr">
        <is>
          <t>à corriger</t>
        </is>
      </c>
      <c r="U20" s="19" t="n">
        <v>1</v>
      </c>
      <c r="V20" s="19" t="inlineStr">
        <is>
          <t>Cible codée « 1 » dans la matrice : à écrire 100 %.</t>
        </is>
      </c>
    </row>
    <row r="21">
      <c r="A21" s="19" t="inlineStr">
        <is>
          <t>SURV-08</t>
        </is>
      </c>
      <c r="B21" s="19" t="inlineStr">
        <is>
          <t>SURV</t>
        </is>
      </c>
      <c r="C21" s="19" t="inlineStr">
        <is>
          <t>Alertes investiguées dans les délais</t>
        </is>
      </c>
      <c r="D21" s="19" t="inlineStr">
        <is>
          <t>% of suspected EVD alerts investigated within 7 days</t>
        </is>
      </c>
      <c r="E21" s="19" t="inlineStr">
        <is>
          <t>Pourcentage</t>
        </is>
      </c>
      <c r="F21" s="19" t="inlineStr">
        <is>
          <t>Tier 1</t>
        </is>
      </c>
      <c r="G21" s="19" t="inlineStr">
        <is>
          <t>Alertes investiguées dans le délai retenu</t>
        </is>
      </c>
      <c r="H21" s="19" t="inlineStr">
        <is>
          <t>Alertes détectées</t>
        </is>
      </c>
      <c r="I21" s="19" t="inlineStr">
        <is>
          <t>Fiche SBC journalière (ODK)</t>
        </is>
      </c>
      <c r="J21" s="19" t="inlineStr">
        <is>
          <t>alertes_investiguees_24h</t>
        </is>
      </c>
      <c r="K21" s="19" t="inlineStr">
        <is>
          <t>Hebdomadaire</t>
        </is>
      </c>
      <c r="L21" s="19" t="inlineStr">
        <is>
          <t>ZS</t>
        </is>
      </c>
      <c r="M21" s="19" t="inlineStr">
        <is>
          <t>100 %</t>
        </is>
      </c>
      <c r="N21" s="1" t="n"/>
      <c r="O21" s="19" t="n">
        <v>100</v>
      </c>
      <c r="P21" s="1" t="n"/>
      <c r="Q21" s="1" t="n"/>
      <c r="R21" s="19" t="inlineStr">
        <is>
          <t>2.8</t>
        </is>
      </c>
      <c r="S21" s="19" t="inlineStr">
        <is>
          <t>5</t>
        </is>
      </c>
      <c r="T21" s="19" t="inlineStr">
        <is>
          <t>à corriger</t>
        </is>
      </c>
      <c r="U21" s="19" t="n">
        <v>1</v>
      </c>
      <c r="V21" s="19" t="inlineStr">
        <is>
          <t>Le cadre dit 7 jours, la fiche SBC mesure 24 h : retenir 24 h (cohérent avec 7-1-7 et le SitRep).</t>
        </is>
      </c>
    </row>
    <row r="22">
      <c r="A22" s="19" t="inlineStr">
        <is>
          <t>SURV-09</t>
        </is>
      </c>
      <c r="B22" s="19" t="inlineStr">
        <is>
          <t>SURV</t>
        </is>
      </c>
      <c r="C22" s="19" t="inlineStr">
        <is>
          <t>Acteurs de la surveillance à base communautaire formés et activés</t>
        </is>
      </c>
      <c r="D22" s="19" t="inlineStr">
        <is>
          <t># of CBS actors/community volunteers trained and activated</t>
        </is>
      </c>
      <c r="E22" s="19" t="inlineStr">
        <is>
          <t>Nombre</t>
        </is>
      </c>
      <c r="F22" s="19" t="inlineStr">
        <is>
          <t>Tier 2</t>
        </is>
      </c>
      <c r="G22" s="19" t="inlineStr">
        <is>
          <t>RECO, relais, informateurs, leaders formés et actifs</t>
        </is>
      </c>
      <c r="H22" s="19" t="inlineStr">
        <is>
          <t>N/A</t>
        </is>
      </c>
      <c r="I22" s="19" t="inlineStr">
        <is>
          <t>Rapports de formation ; listes d'activation</t>
        </is>
      </c>
      <c r="J22" s="1" t="n"/>
      <c r="K22" s="19" t="inlineStr">
        <is>
          <t>Mensuelle</t>
        </is>
      </c>
      <c r="L22" s="19" t="inlineStr">
        <is>
          <t>Sexe, type d'acteur, ZS</t>
        </is>
      </c>
      <c r="M22" s="19" t="inlineStr">
        <is>
          <t>2 024</t>
        </is>
      </c>
      <c r="N22" s="19" t="inlineStr">
        <is>
          <t>12 000</t>
        </is>
      </c>
      <c r="O22" s="19" t="n">
        <v>2024</v>
      </c>
      <c r="P22" s="19" t="n">
        <v>12000</v>
      </c>
      <c r="Q22" s="1" t="n"/>
      <c r="R22" s="19" t="inlineStr">
        <is>
          <t>2.9</t>
        </is>
      </c>
      <c r="S22" s="19" t="inlineStr">
        <is>
          <t>6</t>
        </is>
      </c>
      <c r="T22" s="19" t="inlineStr">
        <is>
          <t>existant</t>
        </is>
      </c>
      <c r="U22" s="19" t="n">
        <v>2</v>
      </c>
      <c r="V22" s="1" t="n"/>
    </row>
    <row r="23">
      <c r="A23" s="19" t="inlineStr">
        <is>
          <t>SURV-10</t>
        </is>
      </c>
      <c r="B23" s="19" t="inlineStr">
        <is>
          <t>SURV</t>
        </is>
      </c>
      <c r="C23" s="19" t="inlineStr">
        <is>
          <t>Exercices PopCAB ou de cartographie des risques de mobilité</t>
        </is>
      </c>
      <c r="D23" s="19" t="inlineStr">
        <is>
          <t># of risk mapping exercises conducted</t>
        </is>
      </c>
      <c r="E23" s="19" t="inlineStr">
        <is>
          <t>Nombre</t>
        </is>
      </c>
      <c r="F23" s="19" t="inlineStr">
        <is>
          <t>Tier 2</t>
        </is>
      </c>
      <c r="G23" s="19" t="inlineStr">
        <is>
          <t>Exercices PopCAB réalisés</t>
        </is>
      </c>
      <c r="H23" s="19" t="inlineStr">
        <is>
          <t>N/A</t>
        </is>
      </c>
      <c r="I23" s="19" t="inlineStr">
        <is>
          <t>Rapports PopCAB</t>
        </is>
      </c>
      <c r="J23" s="1" t="n"/>
      <c r="K23" s="19" t="inlineStr">
        <is>
          <t>Mensuelle</t>
        </is>
      </c>
      <c r="L23" s="19" t="inlineStr">
        <is>
          <t>ZS</t>
        </is>
      </c>
      <c r="M23" s="19" t="inlineStr">
        <is>
          <t>12</t>
        </is>
      </c>
      <c r="N23" s="19" t="inlineStr">
        <is>
          <t>60</t>
        </is>
      </c>
      <c r="O23" s="19" t="n">
        <v>12</v>
      </c>
      <c r="P23" s="19" t="n">
        <v>60</v>
      </c>
      <c r="Q23" s="1" t="n"/>
      <c r="R23" s="19" t="inlineStr">
        <is>
          <t>2.10</t>
        </is>
      </c>
      <c r="S23" s="19" t="inlineStr">
        <is>
          <t>7</t>
        </is>
      </c>
      <c r="T23" s="19" t="inlineStr">
        <is>
          <t>à corriger</t>
        </is>
      </c>
      <c r="U23" s="19" t="n">
        <v>3</v>
      </c>
      <c r="V23" s="19" t="inlineStr">
        <is>
          <t>Fréquence « annuelle » incompatible avec une cible de 12 : passer en mensuel.</t>
        </is>
      </c>
    </row>
    <row r="24">
      <c r="A24" s="19" t="inlineStr">
        <is>
          <t>SURV-11</t>
        </is>
      </c>
      <c r="B24" s="19" t="inlineStr">
        <is>
          <t>SURV</t>
        </is>
      </c>
      <c r="C24" s="19" t="inlineStr">
        <is>
          <t>Alertes communautaires reçues</t>
        </is>
      </c>
      <c r="D24" s="19" t="inlineStr">
        <is>
          <t># of community alerts received</t>
        </is>
      </c>
      <c r="E24" s="19" t="inlineStr">
        <is>
          <t>Nombre</t>
        </is>
      </c>
      <c r="F24" s="19" t="inlineStr">
        <is>
          <t>Tier 2</t>
        </is>
      </c>
      <c r="G24" s="19" t="inlineStr">
        <is>
          <t>Alertes communautaires et de FOSA reçues</t>
        </is>
      </c>
      <c r="H24" s="19" t="inlineStr">
        <is>
          <t>N/A</t>
        </is>
      </c>
      <c r="I24" s="19" t="inlineStr">
        <is>
          <t>Registre des alertes</t>
        </is>
      </c>
      <c r="J24" s="1" t="n"/>
      <c r="K24" s="19" t="inlineStr">
        <is>
          <t>Hebdomadaire</t>
        </is>
      </c>
      <c r="L24" s="19" t="inlineStr">
        <is>
          <t>Source</t>
        </is>
      </c>
      <c r="M24" s="19" t="inlineStr">
        <is>
          <t>1 500</t>
        </is>
      </c>
      <c r="N24" s="1" t="n"/>
      <c r="O24" s="19" t="n">
        <v>1500</v>
      </c>
      <c r="P24" s="1" t="n"/>
      <c r="Q24" s="1" t="n"/>
      <c r="R24" s="19" t="inlineStr">
        <is>
          <t>2.11</t>
        </is>
      </c>
      <c r="S24" s="1" t="n"/>
      <c r="T24" s="19" t="inlineStr">
        <is>
          <t>à corriger</t>
        </is>
      </c>
      <c r="U24" s="19" t="n">
        <v>2</v>
      </c>
      <c r="V24" s="19" t="inlineStr">
        <is>
          <t>Même cible et définition voisine de SURV-05 : fusionner ou distinguer clairement.</t>
        </is>
      </c>
    </row>
    <row r="25">
      <c r="A25" s="19" t="inlineStr">
        <is>
          <t>SURV-12</t>
        </is>
      </c>
      <c r="B25" s="19" t="inlineStr">
        <is>
          <t>SURV</t>
        </is>
      </c>
      <c r="C25" s="19" t="inlineStr">
        <is>
          <t>Déploiements d'équipes d'intervention rapide (EIR) appuyés</t>
        </is>
      </c>
      <c r="D25" s="19" t="inlineStr">
        <is>
          <t># of RRT deployments supported</t>
        </is>
      </c>
      <c r="E25" s="19" t="inlineStr">
        <is>
          <t>Nombre</t>
        </is>
      </c>
      <c r="F25" s="19" t="inlineStr">
        <is>
          <t>Tier 2</t>
        </is>
      </c>
      <c r="G25" s="19" t="inlineStr">
        <is>
          <t>Déploiements EIR appuyés</t>
        </is>
      </c>
      <c r="H25" s="19" t="inlineStr">
        <is>
          <t>N/A</t>
        </is>
      </c>
      <c r="I25" s="19" t="inlineStr">
        <is>
          <t>Journal des EIR</t>
        </is>
      </c>
      <c r="J25" s="1" t="n"/>
      <c r="K25" s="19" t="inlineStr">
        <is>
          <t>Hebdomadaire</t>
        </is>
      </c>
      <c r="L25" s="19" t="inlineStr">
        <is>
          <t>ZS</t>
        </is>
      </c>
      <c r="M25" s="19" t="inlineStr">
        <is>
          <t>300</t>
        </is>
      </c>
      <c r="N25" s="19" t="inlineStr">
        <is>
          <t>500 membres d'EIR recyclés</t>
        </is>
      </c>
      <c r="O25" s="19" t="n">
        <v>300</v>
      </c>
      <c r="P25" s="1" t="n"/>
      <c r="Q25" s="1" t="n"/>
      <c r="R25" s="19" t="inlineStr">
        <is>
          <t>2.12</t>
        </is>
      </c>
      <c r="S25" s="19" t="inlineStr">
        <is>
          <t>23</t>
        </is>
      </c>
      <c r="T25" s="19" t="inlineStr">
        <is>
          <t>existant</t>
        </is>
      </c>
      <c r="U25" s="19" t="n">
        <v>2</v>
      </c>
      <c r="V25" s="19" t="inlineStr">
        <is>
          <t>L'indicateur 23 du cadre global mélange équipes, déploiements et alertes : il est scindé en SURV-12 et LOG-02.</t>
        </is>
      </c>
    </row>
    <row r="26">
      <c r="A26" s="19" t="inlineStr">
        <is>
          <t>SURV-13</t>
        </is>
      </c>
      <c r="B26" s="19" t="inlineStr">
        <is>
          <t>SURV</t>
        </is>
      </c>
      <c r="C26" s="19" t="inlineStr">
        <is>
          <t>PoE informels, PoC et points de mobilité appuyés pour le dépistage</t>
        </is>
      </c>
      <c r="D26" s="19" t="inlineStr">
        <is>
          <t># of informal PoEs/PoCs supported for screening</t>
        </is>
      </c>
      <c r="E26" s="19" t="inlineStr">
        <is>
          <t>Nombre</t>
        </is>
      </c>
      <c r="F26" s="19" t="inlineStr">
        <is>
          <t>Tier 2</t>
        </is>
      </c>
      <c r="G26" s="19" t="inlineStr">
        <is>
          <t>Sites appuyés et fonctionnels</t>
        </is>
      </c>
      <c r="H26" s="19" t="inlineStr">
        <is>
          <t>N/A</t>
        </is>
      </c>
      <c r="I26" s="19" t="inlineStr">
        <is>
          <t>Évaluations de site</t>
        </is>
      </c>
      <c r="J26" s="1" t="n"/>
      <c r="K26" s="19" t="inlineStr">
        <is>
          <t>Mensuelle</t>
        </is>
      </c>
      <c r="L26" s="19" t="inlineStr">
        <is>
          <t>Type de site</t>
        </is>
      </c>
      <c r="M26" s="19" t="inlineStr">
        <is>
          <t>60</t>
        </is>
      </c>
      <c r="N26" s="19" t="inlineStr">
        <is>
          <t>150</t>
        </is>
      </c>
      <c r="O26" s="19" t="n">
        <v>60</v>
      </c>
      <c r="P26" s="19" t="n">
        <v>150</v>
      </c>
      <c r="Q26" s="1" t="n"/>
      <c r="R26" s="19" t="inlineStr">
        <is>
          <t>2.13</t>
        </is>
      </c>
      <c r="S26" s="19" t="inlineStr">
        <is>
          <t>17</t>
        </is>
      </c>
      <c r="T26" s="19" t="inlineStr">
        <is>
          <t>existant</t>
        </is>
      </c>
      <c r="U26" s="19" t="n">
        <v>2</v>
      </c>
      <c r="V26" s="1" t="n"/>
    </row>
    <row r="27">
      <c r="A27" s="19" t="inlineStr">
        <is>
          <t>SURV-14</t>
        </is>
      </c>
      <c r="B27" s="19" t="inlineStr">
        <is>
          <t>SURV</t>
        </is>
      </c>
      <c r="C27" s="19" t="inlineStr">
        <is>
          <t>Personnes dépistées aux PoE/PoC ou points de mobilité</t>
        </is>
      </c>
      <c r="D27" s="19" t="inlineStr">
        <is>
          <t># of people screened at PoEs/PoCs or mobility points</t>
        </is>
      </c>
      <c r="E27" s="19" t="inlineStr">
        <is>
          <t>Nombre</t>
        </is>
      </c>
      <c r="F27" s="19" t="inlineStr">
        <is>
          <t>Tier 1</t>
        </is>
      </c>
      <c r="G27" s="19" t="inlineStr">
        <is>
          <t>Voyageurs dépistés</t>
        </is>
      </c>
      <c r="H27" s="19" t="inlineStr">
        <is>
          <t>N/A</t>
        </is>
      </c>
      <c r="I27" s="19" t="inlineStr">
        <is>
          <t>Registres de dépistage</t>
        </is>
      </c>
      <c r="J27" s="1" t="n"/>
      <c r="K27" s="19" t="inlineStr">
        <is>
          <t>Hebdomadaire</t>
        </is>
      </c>
      <c r="L27" s="19" t="inlineStr">
        <is>
          <t>Site, sexe</t>
        </is>
      </c>
      <c r="M27" s="19" t="inlineStr">
        <is>
          <t>269 518</t>
        </is>
      </c>
      <c r="N27" s="1" t="n"/>
      <c r="O27" s="19" t="n">
        <v>269518</v>
      </c>
      <c r="P27" s="1" t="n"/>
      <c r="Q27" s="1" t="n"/>
      <c r="R27" s="19" t="inlineStr">
        <is>
          <t>2.14</t>
        </is>
      </c>
      <c r="S27" s="19" t="inlineStr">
        <is>
          <t>16</t>
        </is>
      </c>
      <c r="T27" s="19" t="inlineStr">
        <is>
          <t>existant</t>
        </is>
      </c>
      <c r="U27" s="19" t="n">
        <v>2</v>
      </c>
      <c r="V27" s="1" t="n"/>
    </row>
    <row r="28">
      <c r="A28" s="19" t="inlineStr">
        <is>
          <t>SURV-15</t>
        </is>
      </c>
      <c r="B28" s="19" t="inlineStr">
        <is>
          <t>SURV</t>
        </is>
      </c>
      <c r="C28" s="19" t="inlineStr">
        <is>
          <t>Réseaux d'alerte frontaliers et communautaires établis</t>
        </is>
      </c>
      <c r="D28" s="19" t="inlineStr">
        <is>
          <t># of border/community alert networks established</t>
        </is>
      </c>
      <c r="E28" s="19" t="inlineStr">
        <is>
          <t>Nombre</t>
        </is>
      </c>
      <c r="F28" s="19" t="inlineStr">
        <is>
          <t>Tier 2</t>
        </is>
      </c>
      <c r="G28" s="19" t="inlineStr">
        <is>
          <t>Réseaux activés</t>
        </is>
      </c>
      <c r="H28" s="19" t="inlineStr">
        <is>
          <t>N/A</t>
        </is>
      </c>
      <c r="I28" s="19" t="inlineStr">
        <is>
          <t>Rapports d'activation</t>
        </is>
      </c>
      <c r="J28" s="1" t="n"/>
      <c r="K28" s="19" t="inlineStr">
        <is>
          <t>Mensuelle</t>
        </is>
      </c>
      <c r="L28" s="19" t="inlineStr">
        <is>
          <t>Frontière</t>
        </is>
      </c>
      <c r="M28" s="19" t="inlineStr">
        <is>
          <t>20</t>
        </is>
      </c>
      <c r="N28" s="1" t="n"/>
      <c r="O28" s="19" t="n">
        <v>20</v>
      </c>
      <c r="P28" s="1" t="n"/>
      <c r="Q28" s="1" t="n"/>
      <c r="R28" s="19" t="inlineStr">
        <is>
          <t>2.15</t>
        </is>
      </c>
      <c r="S28" s="1" t="n"/>
      <c r="T28" s="19" t="inlineStr">
        <is>
          <t>existant</t>
        </is>
      </c>
      <c r="U28" s="19" t="n">
        <v>3</v>
      </c>
      <c r="V28" s="1" t="n"/>
    </row>
    <row r="29">
      <c r="A29" s="19" t="inlineStr">
        <is>
          <t>SURV-16</t>
        </is>
      </c>
      <c r="B29" s="19" t="inlineStr">
        <is>
          <t>SURV</t>
        </is>
      </c>
      <c r="C29" s="19" t="inlineStr">
        <is>
          <t>Alertes et références transfrontalières documentées et suivies</t>
        </is>
      </c>
      <c r="D29" s="19" t="inlineStr">
        <is>
          <t># of cross-border alerts/referrals documented and followed up</t>
        </is>
      </c>
      <c r="E29" s="19" t="inlineStr">
        <is>
          <t>Nombre</t>
        </is>
      </c>
      <c r="F29" s="19" t="inlineStr">
        <is>
          <t>Tier 2</t>
        </is>
      </c>
      <c r="G29" s="19" t="inlineStr">
        <is>
          <t>Alertes suivies</t>
        </is>
      </c>
      <c r="H29" s="19" t="inlineStr">
        <is>
          <t>N/A</t>
        </is>
      </c>
      <c r="I29" s="19" t="inlineStr">
        <is>
          <t>Journal de notification</t>
        </is>
      </c>
      <c r="J29" s="1" t="n"/>
      <c r="K29" s="19" t="inlineStr">
        <is>
          <t>Hebdomadaire</t>
        </is>
      </c>
      <c r="L29" s="19" t="inlineStr">
        <is>
          <t>Pays</t>
        </is>
      </c>
      <c r="M29" s="19" t="inlineStr">
        <is>
          <t>70</t>
        </is>
      </c>
      <c r="N29" s="19" t="inlineStr">
        <is>
          <t>500</t>
        </is>
      </c>
      <c r="O29" s="19" t="n">
        <v>70</v>
      </c>
      <c r="P29" s="19" t="n">
        <v>500</v>
      </c>
      <c r="Q29" s="1" t="n"/>
      <c r="R29" s="19" t="inlineStr">
        <is>
          <t>2.16</t>
        </is>
      </c>
      <c r="S29" s="1" t="n"/>
      <c r="T29" s="19" t="inlineStr">
        <is>
          <t>existant</t>
        </is>
      </c>
      <c r="U29" s="19" t="n">
        <v>2</v>
      </c>
      <c r="V29" s="1" t="n"/>
    </row>
    <row r="30">
      <c r="A30" s="19" t="inlineStr">
        <is>
          <t>SURV-17</t>
        </is>
      </c>
      <c r="B30" s="19" t="inlineStr">
        <is>
          <t>SURV</t>
        </is>
      </c>
      <c r="C30" s="19" t="inlineStr">
        <is>
          <t>Cas confirmés dans les zones d'intervention CGPP</t>
        </is>
      </c>
      <c r="D30" s="19" t="inlineStr">
        <is>
          <t># of confirmed Ebola cases identified within CGPP focal areas</t>
        </is>
      </c>
      <c r="E30" s="19" t="inlineStr">
        <is>
          <t>Nombre</t>
        </is>
      </c>
      <c r="F30" s="19" t="inlineStr">
        <is>
          <t>Contexte</t>
        </is>
      </c>
      <c r="G30" s="19" t="inlineStr">
        <is>
          <t>Cas confirmés (toutes sources) dans les ZS CGPP</t>
        </is>
      </c>
      <c r="H30" s="19" t="inlineStr">
        <is>
          <t>N/A</t>
        </is>
      </c>
      <c r="I30" s="19" t="inlineStr">
        <is>
          <t>SitRep national (tableaux par ZS)</t>
        </is>
      </c>
      <c r="J30" s="19" t="inlineStr">
        <is>
          <t>epi_zs.cas_cumul, nouveaux_cas_24h</t>
        </is>
      </c>
      <c r="K30" s="19" t="inlineStr">
        <is>
          <t>Quotidienne</t>
        </is>
      </c>
      <c r="L30" s="19" t="inlineStr">
        <is>
          <t>ZS, IP</t>
        </is>
      </c>
      <c r="M30" s="19" t="inlineStr">
        <is>
          <t>Suivi</t>
        </is>
      </c>
      <c r="N30" s="1" t="n"/>
      <c r="O30" s="1" t="n"/>
      <c r="P30" s="1" t="n"/>
      <c r="Q30" s="1" t="n"/>
      <c r="R30" s="19" t="inlineStr">
        <is>
          <t>2.17</t>
        </is>
      </c>
      <c r="S30" s="19" t="inlineStr">
        <is>
          <t>2</t>
        </is>
      </c>
      <c r="T30" s="19" t="inlineStr">
        <is>
          <t>à corriger</t>
        </is>
      </c>
      <c r="U30" s="19" t="n">
        <v>1</v>
      </c>
      <c r="V30" s="19" t="inlineStr">
        <is>
          <t>À calculer automatiquement depuis le SitRep national et non à déclarer par les IP (le classeur affiche 1, le SitRep 2 586 au 10/10).</t>
        </is>
      </c>
    </row>
    <row r="31">
      <c r="A31" s="19" t="inlineStr">
        <is>
          <t>SURV-18</t>
        </is>
      </c>
      <c r="B31" s="19" t="inlineStr">
        <is>
          <t>SURV</t>
        </is>
      </c>
      <c r="C31" s="19" t="inlineStr">
        <is>
          <t>Décès inexpliqués ou communautaires investigués</t>
        </is>
      </c>
      <c r="D31" s="19" t="inlineStr">
        <is>
          <t># of unexplained/community deaths investigated</t>
        </is>
      </c>
      <c r="E31" s="19" t="inlineStr">
        <is>
          <t>Nombre</t>
        </is>
      </c>
      <c r="F31" s="19" t="inlineStr">
        <is>
          <t>Tier 2</t>
        </is>
      </c>
      <c r="G31" s="19" t="inlineStr">
        <is>
          <t>Décès investigués</t>
        </is>
      </c>
      <c r="H31" s="19" t="inlineStr">
        <is>
          <t>N/A</t>
        </is>
      </c>
      <c r="I31" s="19" t="inlineStr">
        <is>
          <t>Journal des décès</t>
        </is>
      </c>
      <c r="J31" s="19" t="inlineStr">
        <is>
          <t>deces_communautaires_notifies</t>
        </is>
      </c>
      <c r="K31" s="19" t="inlineStr">
        <is>
          <t>Hebdomadaire</t>
        </is>
      </c>
      <c r="L31" s="19" t="inlineStr">
        <is>
          <t>ZS</t>
        </is>
      </c>
      <c r="M31" s="19" t="inlineStr">
        <is>
          <t>50</t>
        </is>
      </c>
      <c r="N31" s="1" t="n"/>
      <c r="O31" s="19" t="n">
        <v>50</v>
      </c>
      <c r="P31" s="1" t="n"/>
      <c r="Q31" s="1" t="n"/>
      <c r="R31" s="19" t="inlineStr">
        <is>
          <t>2.18</t>
        </is>
      </c>
      <c r="S31" s="1" t="n"/>
      <c r="T31" s="19" t="inlineStr">
        <is>
          <t>existant</t>
        </is>
      </c>
      <c r="U31" s="19" t="n">
        <v>2</v>
      </c>
      <c r="V31" s="1" t="n"/>
    </row>
    <row r="32">
      <c r="A32" s="19" t="inlineStr">
        <is>
          <t>SURV-19</t>
        </is>
      </c>
      <c r="B32" s="19" t="inlineStr">
        <is>
          <t>SURV</t>
        </is>
      </c>
      <c r="C32" s="19" t="inlineStr">
        <is>
          <t>Contacts symptomatiques référés vers une FOSA ou un CTE</t>
        </is>
      </c>
      <c r="D32" s="19" t="inlineStr">
        <is>
          <t># of symptomatic contacts referred to health facilities/ETC</t>
        </is>
      </c>
      <c r="E32" s="19" t="inlineStr">
        <is>
          <t>Nombre</t>
        </is>
      </c>
      <c r="F32" s="19" t="inlineStr">
        <is>
          <t>Tier 2</t>
        </is>
      </c>
      <c r="G32" s="19" t="inlineStr">
        <is>
          <t>Contacts référés</t>
        </is>
      </c>
      <c r="H32" s="19" t="inlineStr">
        <is>
          <t>N/A</t>
        </is>
      </c>
      <c r="I32" s="19" t="inlineStr">
        <is>
          <t>Fiche SBC journalière (ODK)</t>
        </is>
      </c>
      <c r="J32" s="19" t="inlineStr">
        <is>
          <t>contacts_symptomatiques_referes_24h</t>
        </is>
      </c>
      <c r="K32" s="19" t="inlineStr">
        <is>
          <t>Hebdomadaire</t>
        </is>
      </c>
      <c r="L32" s="19" t="inlineStr">
        <is>
          <t>ZS</t>
        </is>
      </c>
      <c r="M32" s="19" t="inlineStr">
        <is>
          <t>100</t>
        </is>
      </c>
      <c r="N32" s="1" t="n"/>
      <c r="O32" s="19" t="n">
        <v>100</v>
      </c>
      <c r="P32" s="1" t="n"/>
      <c r="Q32" s="1" t="n"/>
      <c r="R32" s="19" t="inlineStr">
        <is>
          <t>2.19</t>
        </is>
      </c>
      <c r="S32" s="1" t="n"/>
      <c r="T32" s="19" t="inlineStr">
        <is>
          <t>existant</t>
        </is>
      </c>
      <c r="U32" s="19" t="n">
        <v>2</v>
      </c>
      <c r="V32" s="1" t="n"/>
    </row>
    <row r="33">
      <c r="A33" s="19" t="inlineStr">
        <is>
          <t>SURV-20</t>
        </is>
      </c>
      <c r="B33" s="19" t="inlineStr">
        <is>
          <t>SURV</t>
        </is>
      </c>
      <c r="C33" s="19" t="inlineStr">
        <is>
          <t>Nouveaux cas confirmés qui étaient des contacts connus</t>
        </is>
      </c>
      <c r="D33" s="19" t="inlineStr">
        <is>
          <t>% of new confirmed cases who were known contacts</t>
        </is>
      </c>
      <c r="E33" s="19" t="inlineStr">
        <is>
          <t>Pourcentage</t>
        </is>
      </c>
      <c r="F33" s="19" t="inlineStr">
        <is>
          <t>Tier 1</t>
        </is>
      </c>
      <c r="G33" s="19" t="inlineStr">
        <is>
          <t>Nouveaux cas confirmés figurant sur une liste de contacts avant leur confirmation</t>
        </is>
      </c>
      <c r="H33" s="19" t="inlineStr">
        <is>
          <t>Nouveaux cas confirmés dans les ZS CGPP</t>
        </is>
      </c>
      <c r="I33" s="19" t="inlineStr">
        <is>
          <t>Liste linéaire des cas (DHIS2 Tracker) et liste des contacts</t>
        </is>
      </c>
      <c r="J33" s="1" t="n"/>
      <c r="K33" s="19" t="inlineStr">
        <is>
          <t>Hebdomadaire</t>
        </is>
      </c>
      <c r="L33" s="19" t="inlineStr">
        <is>
          <t>ZS</t>
        </is>
      </c>
      <c r="M33" s="1" t="n"/>
      <c r="N33" s="1" t="n"/>
      <c r="O33" s="1" t="n"/>
      <c r="P33" s="1" t="n"/>
      <c r="Q33" s="19" t="inlineStr">
        <is>
          <t>Cible proposée ≥ 80 % (à valider)</t>
        </is>
      </c>
      <c r="R33" s="1" t="n"/>
      <c r="S33" s="1" t="n"/>
      <c r="T33" s="19" t="inlineStr">
        <is>
          <t>nouveau</t>
        </is>
      </c>
      <c r="U33" s="19" t="n">
        <v>1</v>
      </c>
      <c r="V33" s="19" t="inlineStr">
        <is>
          <t>Mesure directe de l'efficacité du suivi des contacts : c'est l'indicateur qui manque le plus.</t>
        </is>
      </c>
    </row>
    <row r="34">
      <c r="A34" s="19" t="inlineStr">
        <is>
          <t>SURV-21</t>
        </is>
      </c>
      <c r="B34" s="19" t="inlineStr">
        <is>
          <t>SURV</t>
        </is>
      </c>
      <c r="C34" s="19" t="inlineStr">
        <is>
          <t>Contacts ayant terminé les 21 jours de suivi</t>
        </is>
      </c>
      <c r="D34" s="19" t="inlineStr">
        <is>
          <t>% of contacts completing 21-day follow-up</t>
        </is>
      </c>
      <c r="E34" s="19" t="inlineStr">
        <is>
          <t>Pourcentage</t>
        </is>
      </c>
      <c r="F34" s="19" t="inlineStr">
        <is>
          <t>Tier 1</t>
        </is>
      </c>
      <c r="G34" s="19" t="inlineStr">
        <is>
          <t>Contacts sortis du suivi à J21 sans interruption</t>
        </is>
      </c>
      <c r="H34" s="19" t="inlineStr">
        <is>
          <t>Contacts dont la fenêtre de 21 jours s'est terminée</t>
        </is>
      </c>
      <c r="I34" s="19" t="inlineStr">
        <is>
          <t>Fiche SBC journalière (ODK)</t>
        </is>
      </c>
      <c r="J34" s="19" t="inlineStr">
        <is>
          <t>contacts_fin_suivi_21j (nouveau)</t>
        </is>
      </c>
      <c r="K34" s="19" t="inlineStr">
        <is>
          <t>Hebdomadaire</t>
        </is>
      </c>
      <c r="L34" s="19" t="inlineStr">
        <is>
          <t>ZS</t>
        </is>
      </c>
      <c r="M34" s="1" t="n"/>
      <c r="N34" s="1" t="n"/>
      <c r="O34" s="1" t="n"/>
      <c r="P34" s="1" t="n"/>
      <c r="Q34" s="19" t="inlineStr">
        <is>
          <t>&lt; 90 % : rouge</t>
        </is>
      </c>
      <c r="R34" s="1" t="n"/>
      <c r="S34" s="1" t="n"/>
      <c r="T34" s="19" t="inlineStr">
        <is>
          <t>nouveau</t>
        </is>
      </c>
      <c r="U34" s="19" t="n">
        <v>1</v>
      </c>
      <c r="V34" s="19" t="inlineStr">
        <is>
          <t>Publier aussi le pourcentage de perdus de vue (champ contacts_perdus_de_vue).</t>
        </is>
      </c>
    </row>
    <row r="35">
      <c r="A35" s="19" t="inlineStr">
        <is>
          <t>SURV-22</t>
        </is>
      </c>
      <c r="B35" s="19" t="inlineStr">
        <is>
          <t>SURV</t>
        </is>
      </c>
      <c r="C35" s="19" t="inlineStr">
        <is>
          <t>Nouveaux cas confirmés détectés après le décès (décès communautaires)</t>
        </is>
      </c>
      <c r="D35" s="19" t="inlineStr">
        <is>
          <t>% of new confirmed cases detected post-mortem</t>
        </is>
      </c>
      <c r="E35" s="19" t="inlineStr">
        <is>
          <t>Pourcentage</t>
        </is>
      </c>
      <c r="F35" s="19" t="inlineStr">
        <is>
          <t>Tier 1</t>
        </is>
      </c>
      <c r="G35" s="19" t="inlineStr">
        <is>
          <t>Nouveaux cas confirmés issus de décès communautaires (swab +)</t>
        </is>
      </c>
      <c r="H35" s="19" t="inlineStr">
        <is>
          <t>Nouveaux cas confirmés</t>
        </is>
      </c>
      <c r="I35" s="19" t="inlineStr">
        <is>
          <t>SitRep national (tableaux par ZS)</t>
        </is>
      </c>
      <c r="J35" s="19" t="inlineStr">
        <is>
          <t>epi_zs.deces_communautaires_24h / nouveaux_cas_24h</t>
        </is>
      </c>
      <c r="K35" s="19" t="inlineStr">
        <is>
          <t>Hebdomadaire</t>
        </is>
      </c>
      <c r="L35" s="19" t="inlineStr">
        <is>
          <t>ZS</t>
        </is>
      </c>
      <c r="M35" s="1" t="n"/>
      <c r="N35" s="1" t="n"/>
      <c r="O35" s="1" t="n"/>
      <c r="P35" s="1" t="n"/>
      <c r="Q35" s="19" t="inlineStr">
        <is>
          <t>Tendance à la baisse attendue</t>
        </is>
      </c>
      <c r="R35" s="1" t="n"/>
      <c r="S35" s="1" t="n"/>
      <c r="T35" s="19" t="inlineStr">
        <is>
          <t>nouveau</t>
        </is>
      </c>
      <c r="U35" s="19" t="n">
        <v>1</v>
      </c>
      <c r="V35" s="19" t="inlineStr">
        <is>
          <t>Calculable dès maintenant : 44 % le 07/10 et 20 % le 10/10.</t>
        </is>
      </c>
    </row>
    <row r="36">
      <c r="A36" s="19" t="inlineStr">
        <is>
          <t>SURV-23</t>
        </is>
      </c>
      <c r="B36" s="19" t="inlineStr">
        <is>
          <t>SURV</t>
        </is>
      </c>
      <c r="C36" s="19" t="inlineStr">
        <is>
          <t>Délai entre le début des symptômes et l'isolement</t>
        </is>
      </c>
      <c r="D36" s="19" t="inlineStr">
        <is>
          <t>Median delay from symptom onset to isolation (days)</t>
        </is>
      </c>
      <c r="E36" s="19" t="inlineStr">
        <is>
          <t>Délai</t>
        </is>
      </c>
      <c r="F36" s="19" t="inlineStr">
        <is>
          <t>Tier 1</t>
        </is>
      </c>
      <c r="G36" s="19" t="inlineStr">
        <is>
          <t>Médiane des délais (jours) des cas confirmés de la semaine ; part isolée en 3 jours ou moins</t>
        </is>
      </c>
      <c r="H36" s="19" t="inlineStr">
        <is>
          <t>N/A</t>
        </is>
      </c>
      <c r="I36" s="19" t="inlineStr">
        <is>
          <t>Liste linéaire des cas (DHIS2 Tracker) et liste des contacts</t>
        </is>
      </c>
      <c r="J36" s="1" t="n"/>
      <c r="K36" s="19" t="inlineStr">
        <is>
          <t>Hebdomadaire</t>
        </is>
      </c>
      <c r="L36" s="19" t="inlineStr">
        <is>
          <t>ZS</t>
        </is>
      </c>
      <c r="M36" s="1" t="n"/>
      <c r="N36" s="1" t="n"/>
      <c r="O36" s="1" t="n"/>
      <c r="P36" s="1" t="n"/>
      <c r="Q36" s="19" t="inlineStr">
        <is>
          <t>Médiane &gt; 3 j : rouge (seuil à valider)</t>
        </is>
      </c>
      <c r="R36" s="1" t="n"/>
      <c r="S36" s="1" t="n"/>
      <c r="T36" s="19" t="inlineStr">
        <is>
          <t>nouveau</t>
        </is>
      </c>
      <c r="U36" s="19" t="n">
        <v>2</v>
      </c>
      <c r="V36" s="1" t="n"/>
    </row>
    <row r="37">
      <c r="A37" s="19" t="inlineStr">
        <is>
          <t>SURV-24</t>
        </is>
      </c>
      <c r="B37" s="19" t="inlineStr">
        <is>
          <t>SURV</t>
        </is>
      </c>
      <c r="C37" s="19" t="inlineStr">
        <is>
          <t>Respect des délais 7-1-7 pour les événements détectés</t>
        </is>
      </c>
      <c r="D37" s="19" t="inlineStr">
        <is>
          <t>% of events meeting 7-1-7 timeliness targets</t>
        </is>
      </c>
      <c r="E37" s="19" t="inlineStr">
        <is>
          <t>Pourcentage</t>
        </is>
      </c>
      <c r="F37" s="19" t="inlineStr">
        <is>
          <t>Tier 1</t>
        </is>
      </c>
      <c r="G37" s="19" t="inlineStr">
        <is>
          <t>Événements détectés ≤ 7 j, notifiés ≤ 1 j, réponse initiale ≤ 7 j</t>
        </is>
      </c>
      <c r="H37" s="19" t="inlineStr">
        <is>
          <t>Événements validés</t>
        </is>
      </c>
      <c r="I37" s="19" t="inlineStr">
        <is>
          <t>Registre des alertes et événements</t>
        </is>
      </c>
      <c r="J37" s="1" t="n"/>
      <c r="K37" s="19" t="inlineStr">
        <is>
          <t>Mensuelle</t>
        </is>
      </c>
      <c r="L37" s="19" t="inlineStr">
        <is>
          <t>Étape (détection, notification, réponse)</t>
        </is>
      </c>
      <c r="M37" s="1" t="n"/>
      <c r="N37" s="1" t="n"/>
      <c r="O37" s="1" t="n"/>
      <c r="P37" s="1" t="n"/>
      <c r="Q37" s="1" t="n"/>
      <c r="R37" s="1" t="n"/>
      <c r="S37" s="1" t="n"/>
      <c r="T37" s="19" t="inlineStr">
        <is>
          <t>nouveau</t>
        </is>
      </c>
      <c r="U37" s="19" t="n">
        <v>2</v>
      </c>
      <c r="V37" s="19" t="inlineStr">
        <is>
          <t>Le plan DOS prévoit l'intégration du suivi 7-1-7 (activité 1.7.6 de la Tranche 5).</t>
        </is>
      </c>
    </row>
    <row r="38">
      <c r="A38" s="19" t="inlineStr">
        <is>
          <t>SURV-25</t>
        </is>
      </c>
      <c r="B38" s="19" t="inlineStr">
        <is>
          <t>SURV</t>
        </is>
      </c>
      <c r="C38" s="19" t="inlineStr">
        <is>
          <t>Contacts listés par cas confirmé</t>
        </is>
      </c>
      <c r="D38" s="19" t="inlineStr">
        <is>
          <t>Mean number of contacts listed per confirmed case</t>
        </is>
      </c>
      <c r="E38" s="19" t="inlineStr">
        <is>
          <t>Ratio</t>
        </is>
      </c>
      <c r="F38" s="19" t="inlineStr">
        <is>
          <t>Tier 1</t>
        </is>
      </c>
      <c r="G38" s="19" t="inlineStr">
        <is>
          <t>Contacts listés autour des cas de la semaine</t>
        </is>
      </c>
      <c r="H38" s="19" t="inlineStr">
        <is>
          <t>Cas confirmés de la semaine</t>
        </is>
      </c>
      <c r="I38" s="19" t="inlineStr">
        <is>
          <t>Liste linéaire des cas (DHIS2 Tracker) et liste des contacts</t>
        </is>
      </c>
      <c r="J38" s="1" t="n"/>
      <c r="K38" s="19" t="inlineStr">
        <is>
          <t>Hebdomadaire</t>
        </is>
      </c>
      <c r="L38" s="19" t="inlineStr">
        <is>
          <t>ZS</t>
        </is>
      </c>
      <c r="M38" s="1" t="n"/>
      <c r="N38" s="1" t="n"/>
      <c r="O38" s="1" t="n"/>
      <c r="P38" s="1" t="n"/>
      <c r="Q38" s="1" t="n"/>
      <c r="R38" s="1" t="n"/>
      <c r="S38" s="1" t="n"/>
      <c r="T38" s="19" t="inlineStr">
        <is>
          <t>nouveau</t>
        </is>
      </c>
      <c r="U38" s="19" t="n">
        <v>2</v>
      </c>
      <c r="V38" s="19" t="inlineStr">
        <is>
          <t>Un ratio bas signale un listage incomplet.</t>
        </is>
      </c>
    </row>
    <row r="39">
      <c r="A39" s="19" t="inlineStr">
        <is>
          <t>SURV-26</t>
        </is>
      </c>
      <c r="B39" s="19" t="inlineStr">
        <is>
          <t>SURV</t>
        </is>
      </c>
      <c r="C39" s="19" t="inlineStr">
        <is>
          <t>Contacts symptomatiques référés en 24 h ou moins</t>
        </is>
      </c>
      <c r="D39" s="19" t="inlineStr">
        <is>
          <t>% of symptomatic contacts referred within 24 hours</t>
        </is>
      </c>
      <c r="E39" s="19" t="inlineStr">
        <is>
          <t>Pourcentage</t>
        </is>
      </c>
      <c r="F39" s="19" t="inlineStr">
        <is>
          <t>Tier 1</t>
        </is>
      </c>
      <c r="G39" s="19" t="inlineStr">
        <is>
          <t>Contacts symptomatiques référés dans les 24 h</t>
        </is>
      </c>
      <c r="H39" s="19" t="inlineStr">
        <is>
          <t>Contacts ayant présenté au moins un signe</t>
        </is>
      </c>
      <c r="I39" s="19" t="inlineStr">
        <is>
          <t>Fiche SBC journalière (ODK)</t>
        </is>
      </c>
      <c r="J39" s="19" t="inlineStr">
        <is>
          <t>contacts_symptomatiques_referes_24h / contacts_symptomatiques</t>
        </is>
      </c>
      <c r="K39" s="19" t="inlineStr">
        <is>
          <t>Hebdomadaire</t>
        </is>
      </c>
      <c r="L39" s="19" t="inlineStr">
        <is>
          <t>ZS</t>
        </is>
      </c>
      <c r="M39" s="1" t="n"/>
      <c r="N39" s="1" t="n"/>
      <c r="O39" s="1" t="n"/>
      <c r="P39" s="1" t="n"/>
      <c r="Q39" s="19" t="inlineStr">
        <is>
          <t>&lt; 90 % : rouge</t>
        </is>
      </c>
      <c r="R39" s="1" t="n"/>
      <c r="S39" s="1" t="n"/>
      <c r="T39" s="19" t="inlineStr">
        <is>
          <t>nouveau</t>
        </is>
      </c>
      <c r="U39" s="19" t="n">
        <v>1</v>
      </c>
      <c r="V39" s="1" t="n"/>
    </row>
    <row r="40">
      <c r="A40" s="19" t="inlineStr">
        <is>
          <t>SURV-27</t>
        </is>
      </c>
      <c r="B40" s="19" t="inlineStr">
        <is>
          <t>SURV</t>
        </is>
      </c>
      <c r="C40" s="19" t="inlineStr">
        <is>
          <t>Alertes CGPP validées comme cas suspects (valeur prédictive)</t>
        </is>
      </c>
      <c r="D40" s="19" t="inlineStr">
        <is>
          <t>% of CGPP alerts validated as suspected cases</t>
        </is>
      </c>
      <c r="E40" s="19" t="inlineStr">
        <is>
          <t>Pourcentage</t>
        </is>
      </c>
      <c r="F40" s="19" t="inlineStr">
        <is>
          <t>Tier 2</t>
        </is>
      </c>
      <c r="G40" s="19" t="inlineStr">
        <is>
          <t>Alertes CGPP validées</t>
        </is>
      </c>
      <c r="H40" s="19" t="inlineStr">
        <is>
          <t>Alertes CGPP vérifiées</t>
        </is>
      </c>
      <c r="I40" s="19" t="inlineStr">
        <is>
          <t>Registre des alertes</t>
        </is>
      </c>
      <c r="J40" s="1" t="n"/>
      <c r="K40" s="19" t="inlineStr">
        <is>
          <t>Hebdomadaire</t>
        </is>
      </c>
      <c r="L40" s="19" t="inlineStr">
        <is>
          <t>ZS, type</t>
        </is>
      </c>
      <c r="M40" s="1" t="n"/>
      <c r="N40" s="1" t="n"/>
      <c r="O40" s="1" t="n"/>
      <c r="P40" s="1" t="n"/>
      <c r="Q40" s="1" t="n"/>
      <c r="R40" s="1" t="n"/>
      <c r="S40" s="1" t="n"/>
      <c r="T40" s="19" t="inlineStr">
        <is>
          <t>nouveau</t>
        </is>
      </c>
      <c r="U40" s="19" t="n">
        <v>2</v>
      </c>
      <c r="V40" s="19" t="inlineStr">
        <is>
          <t>Mesure la qualité des alertes communautaires (au niveau national : 15,8 % le 07/10).</t>
        </is>
      </c>
    </row>
    <row r="41">
      <c r="A41" s="19" t="inlineStr">
        <is>
          <t>SURV-28</t>
        </is>
      </c>
      <c r="B41" s="19" t="inlineStr">
        <is>
          <t>SURV</t>
        </is>
      </c>
      <c r="C41" s="19" t="inlineStr">
        <is>
          <t>Alertes pour 10 000 habitants par semaine</t>
        </is>
      </c>
      <c r="D41" s="19" t="inlineStr">
        <is>
          <t>Alert rate per 10,000 population per week</t>
        </is>
      </c>
      <c r="E41" s="19" t="inlineStr">
        <is>
          <t>Ratio</t>
        </is>
      </c>
      <c r="F41" s="19" t="inlineStr">
        <is>
          <t>Tier 2</t>
        </is>
      </c>
      <c r="G41" s="19" t="inlineStr">
        <is>
          <t>Alertes de la semaine x 10 000</t>
        </is>
      </c>
      <c r="H41" s="19" t="inlineStr">
        <is>
          <t>Population de la ZS</t>
        </is>
      </c>
      <c r="I41" s="19" t="inlineStr">
        <is>
          <t>Fiche SBC journalière (ODK) ; ref_zones.population</t>
        </is>
      </c>
      <c r="J41" s="1" t="n"/>
      <c r="K41" s="19" t="inlineStr">
        <is>
          <t>Hebdomadaire</t>
        </is>
      </c>
      <c r="L41" s="19" t="inlineStr">
        <is>
          <t>ZS</t>
        </is>
      </c>
      <c r="M41" s="1" t="n"/>
      <c r="N41" s="1" t="n"/>
      <c r="O41" s="1" t="n"/>
      <c r="P41" s="1" t="n"/>
      <c r="Q41" s="1" t="n"/>
      <c r="R41" s="1" t="n"/>
      <c r="S41" s="1" t="n"/>
      <c r="T41" s="19" t="inlineStr">
        <is>
          <t>nouveau</t>
        </is>
      </c>
      <c r="U41" s="19" t="n">
        <v>2</v>
      </c>
      <c r="V41" s="19" t="inlineStr">
        <is>
          <t>Sensibilité de la surveillance communautaire ; nécessite la population par ZS.</t>
        </is>
      </c>
    </row>
    <row r="42">
      <c r="A42" s="19" t="inlineStr">
        <is>
          <t>SURV-29</t>
        </is>
      </c>
      <c r="B42" s="19" t="inlineStr">
        <is>
          <t>SURV</t>
        </is>
      </c>
      <c r="C42" s="19" t="inlineStr">
        <is>
          <t>Complétude des rapports SBC journaliers</t>
        </is>
      </c>
      <c r="D42" s="19" t="inlineStr">
        <is>
          <t>% of expected CBS daily reports received</t>
        </is>
      </c>
      <c r="E42" s="19" t="inlineStr">
        <is>
          <t>Pourcentage</t>
        </is>
      </c>
      <c r="F42" s="19" t="inlineStr">
        <is>
          <t>Tier 2</t>
        </is>
      </c>
      <c r="G42" s="19" t="inlineStr">
        <is>
          <t>RECO/ACSA ayant travaillé et rapporté</t>
        </is>
      </c>
      <c r="H42" s="19" t="inlineStr">
        <is>
          <t>RECO/ACSA attendus</t>
        </is>
      </c>
      <c r="I42" s="19" t="inlineStr">
        <is>
          <t>Fiche SBC journalière (ODK)</t>
        </is>
      </c>
      <c r="J42" s="19" t="inlineStr">
        <is>
          <t>reco_ayant_travaille / reco_attendus</t>
        </is>
      </c>
      <c r="K42" s="19" t="inlineStr">
        <is>
          <t>Quotidienne</t>
        </is>
      </c>
      <c r="L42" s="19" t="inlineStr">
        <is>
          <t>AS, ZS, IP</t>
        </is>
      </c>
      <c r="M42" s="1" t="n"/>
      <c r="N42" s="1" t="n"/>
      <c r="O42" s="1" t="n"/>
      <c r="P42" s="1" t="n"/>
      <c r="Q42" s="19" t="inlineStr">
        <is>
          <t>&lt; 80 % : rouge</t>
        </is>
      </c>
      <c r="R42" s="1" t="n"/>
      <c r="S42" s="1" t="n"/>
      <c r="T42" s="19" t="inlineStr">
        <is>
          <t>nouveau</t>
        </is>
      </c>
      <c r="U42" s="19" t="n">
        <v>1</v>
      </c>
      <c r="V42" s="19" t="inlineStr">
        <is>
          <t>Les champs existent déjà dans l'en-tête de la fiche SBC.</t>
        </is>
      </c>
    </row>
    <row r="43">
      <c r="A43" s="19" t="inlineStr">
        <is>
          <t>SURV-30</t>
        </is>
      </c>
      <c r="B43" s="19" t="inlineStr">
        <is>
          <t>SURV</t>
        </is>
      </c>
      <c r="C43" s="19" t="inlineStr">
        <is>
          <t>Décès communautaires notifiés et prélevés (swab)</t>
        </is>
      </c>
      <c r="D43" s="19" t="inlineStr">
        <is>
          <t>% of notified community deaths swabbed</t>
        </is>
      </c>
      <c r="E43" s="19" t="inlineStr">
        <is>
          <t>Pourcentage</t>
        </is>
      </c>
      <c r="F43" s="19" t="inlineStr">
        <is>
          <t>Tier 1</t>
        </is>
      </c>
      <c r="G43" s="19" t="inlineStr">
        <is>
          <t>Décès communautaires prélevés</t>
        </is>
      </c>
      <c r="H43" s="19" t="inlineStr">
        <is>
          <t>Décès communautaires notifiés</t>
        </is>
      </c>
      <c r="I43" s="19" t="inlineStr">
        <is>
          <t>Fiche SBC journalière (ODK)</t>
        </is>
      </c>
      <c r="J43" s="19" t="inlineStr">
        <is>
          <t>deces_communautaires_swabes / deces_communautaires_notifies</t>
        </is>
      </c>
      <c r="K43" s="19" t="inlineStr">
        <is>
          <t>Hebdomadaire</t>
        </is>
      </c>
      <c r="L43" s="19" t="inlineStr">
        <is>
          <t>ZS</t>
        </is>
      </c>
      <c r="M43" s="1" t="n"/>
      <c r="N43" s="1" t="n"/>
      <c r="O43" s="1" t="n"/>
      <c r="P43" s="1" t="n"/>
      <c r="Q43" s="19" t="inlineStr">
        <is>
          <t>&lt; 90 % : rouge</t>
        </is>
      </c>
      <c r="R43" s="1" t="n"/>
      <c r="S43" s="1" t="n"/>
      <c r="T43" s="19" t="inlineStr">
        <is>
          <t>nouveau</t>
        </is>
      </c>
      <c r="U43" s="19" t="n">
        <v>1</v>
      </c>
      <c r="V43" s="1" t="n"/>
    </row>
    <row r="44">
      <c r="A44" s="19" t="inlineStr">
        <is>
          <t>SURV-31</t>
        </is>
      </c>
      <c r="B44" s="19" t="inlineStr">
        <is>
          <t>SURV</t>
        </is>
      </c>
      <c r="C44" s="19" t="inlineStr">
        <is>
          <t>Alertes de santé animale (One Health) transmises aux services vétérinaires</t>
        </is>
      </c>
      <c r="D44" s="19" t="inlineStr">
        <is>
          <t># of animal health alerts relayed (One Health)</t>
        </is>
      </c>
      <c r="E44" s="19" t="inlineStr">
        <is>
          <t>Nombre</t>
        </is>
      </c>
      <c r="F44" s="19" t="inlineStr">
        <is>
          <t>Tier 2</t>
        </is>
      </c>
      <c r="G44" s="19" t="inlineStr">
        <is>
          <t>Alertes animales transmises</t>
        </is>
      </c>
      <c r="H44" s="19" t="inlineStr">
        <is>
          <t>N/A</t>
        </is>
      </c>
      <c r="I44" s="19" t="inlineStr">
        <is>
          <t>Fiche SBC journalière (ODK)</t>
        </is>
      </c>
      <c r="J44" s="19" t="inlineStr">
        <is>
          <t>alertes_sante_animale (nouveau)</t>
        </is>
      </c>
      <c r="K44" s="19" t="inlineStr">
        <is>
          <t>Hebdomadaire</t>
        </is>
      </c>
      <c r="L44" s="19" t="inlineStr">
        <is>
          <t>ZS</t>
        </is>
      </c>
      <c r="M44" s="1" t="n"/>
      <c r="N44" s="1" t="n"/>
      <c r="O44" s="1" t="n"/>
      <c r="P44" s="1" t="n"/>
      <c r="Q44" s="1" t="n"/>
      <c r="R44" s="1" t="n"/>
      <c r="S44" s="1" t="n"/>
      <c r="T44" s="19" t="inlineStr">
        <is>
          <t>nouveau</t>
        </is>
      </c>
      <c r="U44" s="19" t="n">
        <v>3</v>
      </c>
      <c r="V44" s="1" t="n"/>
    </row>
    <row r="45">
      <c r="A45" s="19" t="inlineStr">
        <is>
          <t>CREC-01</t>
        </is>
      </c>
      <c r="B45" s="19" t="inlineStr">
        <is>
          <t>CREC</t>
        </is>
      </c>
      <c r="C45" s="19" t="inlineStr">
        <is>
          <t>Ménages visités et séances d'engagement communautaire</t>
        </is>
      </c>
      <c r="D45" s="19" t="inlineStr">
        <is>
          <t># of households reached with RCCE messages</t>
        </is>
      </c>
      <c r="E45" s="19" t="inlineStr">
        <is>
          <t>Nombre</t>
        </is>
      </c>
      <c r="F45" s="19" t="inlineStr">
        <is>
          <t>Tier 2</t>
        </is>
      </c>
      <c r="G45" s="19" t="inlineStr">
        <is>
          <t>Ménages visités (porte à porte) ; séances d'engagement (à rapporter séparément)</t>
        </is>
      </c>
      <c r="H45" s="19" t="inlineStr">
        <is>
          <t>N/A</t>
        </is>
      </c>
      <c r="I45" s="19" t="inlineStr">
        <is>
          <t>Fiche SBC journalière (ODK)</t>
        </is>
      </c>
      <c r="J45" s="19" t="inlineStr">
        <is>
          <t>nb_menages_visites ; nb_seances_realisees</t>
        </is>
      </c>
      <c r="K45" s="19" t="inlineStr">
        <is>
          <t>Mensuelle</t>
        </is>
      </c>
      <c r="L45" s="19" t="inlineStr">
        <is>
          <t>Type (ménage, séance), ZS</t>
        </is>
      </c>
      <c r="M45" s="19" t="inlineStr">
        <is>
          <t>2 515</t>
        </is>
      </c>
      <c r="N45" s="19" t="inlineStr">
        <is>
          <t>40 000</t>
        </is>
      </c>
      <c r="O45" s="19" t="n">
        <v>2515</v>
      </c>
      <c r="P45" s="19" t="n">
        <v>40000</v>
      </c>
      <c r="Q45" s="1" t="n"/>
      <c r="R45" s="19" t="inlineStr">
        <is>
          <t>3.1</t>
        </is>
      </c>
      <c r="S45" s="19" t="inlineStr">
        <is>
          <t>10</t>
        </is>
      </c>
      <c r="T45" s="19" t="inlineStr">
        <is>
          <t>à corriger</t>
        </is>
      </c>
      <c r="U45" s="19" t="n">
        <v>1</v>
      </c>
      <c r="V45" s="19" t="inlineStr">
        <is>
          <t>L'intitulé parle de ménages mais le numérateur compte des séances : scinder en deux chiffres.</t>
        </is>
      </c>
    </row>
    <row r="46">
      <c r="A46" s="19" t="inlineStr">
        <is>
          <t>CREC-02</t>
        </is>
      </c>
      <c r="B46" s="19" t="inlineStr">
        <is>
          <t>CREC</t>
        </is>
      </c>
      <c r="C46" s="19" t="inlineStr">
        <is>
          <t>Séances de groupe ciblées</t>
        </is>
      </c>
      <c r="D46" s="19" t="inlineStr">
        <is>
          <t># of targeted RCCE group sessions conducted</t>
        </is>
      </c>
      <c r="E46" s="19" t="inlineStr">
        <is>
          <t>Nombre</t>
        </is>
      </c>
      <c r="F46" s="19" t="inlineStr">
        <is>
          <t>Tier 2</t>
        </is>
      </c>
      <c r="G46" s="19" t="inlineStr">
        <is>
          <t>Dialogues, forums, causeries, réunions de groupe</t>
        </is>
      </c>
      <c r="H46" s="19" t="inlineStr">
        <is>
          <t>N/A</t>
        </is>
      </c>
      <c r="I46" s="19" t="inlineStr">
        <is>
          <t>Fiche SBC journalière (ODK)</t>
        </is>
      </c>
      <c r="J46" s="19" t="inlineStr">
        <is>
          <t>nb_causeries + nb_debats_dialogues (hors VAD)</t>
        </is>
      </c>
      <c r="K46" s="19" t="inlineStr">
        <is>
          <t>Mensuelle</t>
        </is>
      </c>
      <c r="L46" s="19" t="inlineStr">
        <is>
          <t>Technique, ZS</t>
        </is>
      </c>
      <c r="M46" s="19" t="inlineStr">
        <is>
          <t>300</t>
        </is>
      </c>
      <c r="N46" s="1" t="n"/>
      <c r="O46" s="19" t="n">
        <v>300</v>
      </c>
      <c r="P46" s="1" t="n"/>
      <c r="Q46" s="1" t="n"/>
      <c r="R46" s="19" t="inlineStr">
        <is>
          <t>3.2</t>
        </is>
      </c>
      <c r="S46" s="19" t="inlineStr">
        <is>
          <t>11</t>
        </is>
      </c>
      <c r="T46" s="19" t="inlineStr">
        <is>
          <t>existant</t>
        </is>
      </c>
      <c r="U46" s="19" t="n">
        <v>2</v>
      </c>
      <c r="V46" s="1" t="n"/>
    </row>
    <row r="47">
      <c r="A47" s="19" t="inlineStr">
        <is>
          <t>CREC-03</t>
        </is>
      </c>
      <c r="B47" s="19" t="inlineStr">
        <is>
          <t>CREC</t>
        </is>
      </c>
      <c r="C47" s="19" t="inlineStr">
        <is>
          <t>Personnes atteintes par les messages CREC</t>
        </is>
      </c>
      <c r="D47" s="19" t="inlineStr">
        <is>
          <t># of people reached with EVD RCCE messaging</t>
        </is>
      </c>
      <c r="E47" s="19" t="inlineStr">
        <is>
          <t>Nombre</t>
        </is>
      </c>
      <c r="F47" s="19" t="inlineStr">
        <is>
          <t>Tier 1</t>
        </is>
      </c>
      <c r="G47" s="19" t="inlineStr">
        <is>
          <t>Personnes sensibilisées</t>
        </is>
      </c>
      <c r="H47" s="19" t="inlineStr">
        <is>
          <t>N/A</t>
        </is>
      </c>
      <c r="I47" s="19" t="inlineStr">
        <is>
          <t>Fiche SBC journalière (ODK)</t>
        </is>
      </c>
      <c r="J47" s="19" t="inlineStr">
        <is>
          <t>sensibilises_h + sensibilises_f</t>
        </is>
      </c>
      <c r="K47" s="19" t="inlineStr">
        <is>
          <t>Mensuelle</t>
        </is>
      </c>
      <c r="L47" s="19" t="inlineStr">
        <is>
          <t>Sexe, canal (VAD, groupe, médias), ZS</t>
        </is>
      </c>
      <c r="M47" s="19" t="inlineStr">
        <is>
          <t>550 810</t>
        </is>
      </c>
      <c r="N47" s="19" t="inlineStr">
        <is>
          <t>5 000 000</t>
        </is>
      </c>
      <c r="O47" s="19" t="n">
        <v>550810</v>
      </c>
      <c r="P47" s="19" t="n">
        <v>5000000</v>
      </c>
      <c r="Q47" s="1" t="n"/>
      <c r="R47" s="19" t="inlineStr">
        <is>
          <t>3.3</t>
        </is>
      </c>
      <c r="S47" s="19" t="inlineStr">
        <is>
          <t>12</t>
        </is>
      </c>
      <c r="T47" s="19" t="inlineStr">
        <is>
          <t>existant</t>
        </is>
      </c>
      <c r="U47" s="19" t="n">
        <v>1</v>
      </c>
      <c r="V47" s="19" t="inlineStr">
        <is>
          <t>Ne pas additionner l'audience radio estimée et les personnes atteintes en face à face.</t>
        </is>
      </c>
    </row>
    <row r="48">
      <c r="A48" s="19" t="inlineStr">
        <is>
          <t>CREC-04</t>
        </is>
      </c>
      <c r="B48" s="19" t="inlineStr">
        <is>
          <t>CREC</t>
        </is>
      </c>
      <c r="C48" s="19" t="inlineStr">
        <is>
          <t>Séances ciblées en milieux à haut risque</t>
        </is>
      </c>
      <c r="D48" s="19" t="inlineStr">
        <is>
          <t># of targeted RCCE sessions conducted in high-risk settings</t>
        </is>
      </c>
      <c r="E48" s="19" t="inlineStr">
        <is>
          <t>Nombre</t>
        </is>
      </c>
      <c r="F48" s="19" t="inlineStr">
        <is>
          <t>Tier 2</t>
        </is>
      </c>
      <c r="G48" s="19" t="inlineStr">
        <is>
          <t>Séances dans les sites à haut risque de la liste fixée</t>
        </is>
      </c>
      <c r="H48" s="19" t="inlineStr">
        <is>
          <t>N/A</t>
        </is>
      </c>
      <c r="I48" s="19" t="inlineStr">
        <is>
          <t>Fiche SBC journalière (ODK)</t>
        </is>
      </c>
      <c r="J48" s="19" t="inlineStr">
        <is>
          <t>nb_seances_realisees où type_site ∈ {école, marché, site minier, PoE, déplacés, parkings, guérison trad.}</t>
        </is>
      </c>
      <c r="K48" s="19" t="inlineStr">
        <is>
          <t>Mensuelle</t>
        </is>
      </c>
      <c r="L48" s="19" t="inlineStr">
        <is>
          <t>Type de site</t>
        </is>
      </c>
      <c r="M48" s="19" t="inlineStr">
        <is>
          <t>300</t>
        </is>
      </c>
      <c r="N48" s="1" t="n"/>
      <c r="O48" s="19" t="n">
        <v>300</v>
      </c>
      <c r="P48" s="1" t="n"/>
      <c r="Q48" s="1" t="n"/>
      <c r="R48" s="19" t="inlineStr">
        <is>
          <t>3.4</t>
        </is>
      </c>
      <c r="S48" s="19" t="inlineStr">
        <is>
          <t>13</t>
        </is>
      </c>
      <c r="T48" s="19" t="inlineStr">
        <is>
          <t>à corriger</t>
        </is>
      </c>
      <c r="U48" s="19" t="n">
        <v>2</v>
      </c>
      <c r="V48" s="19" t="inlineStr">
        <is>
          <t>Fixer la liste des types de site « à haut risque ».</t>
        </is>
      </c>
    </row>
    <row r="49">
      <c r="A49" s="19" t="inlineStr">
        <is>
          <t>CREC-05</t>
        </is>
      </c>
      <c r="B49" s="19" t="inlineStr">
        <is>
          <t>CREC</t>
        </is>
      </c>
      <c r="C49" s="19" t="inlineStr">
        <is>
          <t>Rumeurs et préoccupations communautaires enregistrées</t>
        </is>
      </c>
      <c r="D49" s="19" t="inlineStr">
        <is>
          <t># of rumors or community concerns logged</t>
        </is>
      </c>
      <c r="E49" s="19" t="inlineStr">
        <is>
          <t>Nombre</t>
        </is>
      </c>
      <c r="F49" s="19" t="inlineStr">
        <is>
          <t>Tier 2</t>
        </is>
      </c>
      <c r="G49" s="19" t="inlineStr">
        <is>
          <t>Rumeurs/préoccupations enregistrées</t>
        </is>
      </c>
      <c r="H49" s="19" t="inlineStr">
        <is>
          <t>N/A</t>
        </is>
      </c>
      <c r="I49" s="19" t="inlineStr">
        <is>
          <t>Fiche SBC journalière (ODK)</t>
        </is>
      </c>
      <c r="J49" s="19" t="inlineStr">
        <is>
          <t>rumeurs_enregistrees (nouveau)</t>
        </is>
      </c>
      <c r="K49" s="19" t="inlineStr">
        <is>
          <t>Hebdomadaire</t>
        </is>
      </c>
      <c r="L49" s="19" t="inlineStr">
        <is>
          <t>Catégorie, ZS</t>
        </is>
      </c>
      <c r="M49" s="19" t="inlineStr">
        <is>
          <t>500</t>
        </is>
      </c>
      <c r="N49" s="19" t="inlineStr">
        <is>
          <t>10 000</t>
        </is>
      </c>
      <c r="O49" s="19" t="n">
        <v>500</v>
      </c>
      <c r="P49" s="19" t="n">
        <v>10000</v>
      </c>
      <c r="Q49" s="1" t="n"/>
      <c r="R49" s="19" t="inlineStr">
        <is>
          <t>3.5</t>
        </is>
      </c>
      <c r="S49" s="19" t="inlineStr">
        <is>
          <t>14</t>
        </is>
      </c>
      <c r="T49" s="19" t="inlineStr">
        <is>
          <t>existant</t>
        </is>
      </c>
      <c r="U49" s="19" t="n">
        <v>1</v>
      </c>
      <c r="V49" s="1" t="n"/>
    </row>
    <row r="50">
      <c r="A50" s="19" t="inlineStr">
        <is>
          <t>CREC-06</t>
        </is>
      </c>
      <c r="B50" s="19" t="inlineStr">
        <is>
          <t>CREC</t>
        </is>
      </c>
      <c r="C50" s="19" t="inlineStr">
        <is>
          <t>Rumeurs et préoccupations traitées en 48 h</t>
        </is>
      </c>
      <c r="D50" s="19" t="inlineStr">
        <is>
          <t>% of rumors/community concerns addressed within 48 hours</t>
        </is>
      </c>
      <c r="E50" s="19" t="inlineStr">
        <is>
          <t>Pourcentage</t>
        </is>
      </c>
      <c r="F50" s="19" t="inlineStr">
        <is>
          <t>Tier 1</t>
        </is>
      </c>
      <c r="G50" s="19" t="inlineStr">
        <is>
          <t>Rumeurs traitées dans les 48 h</t>
        </is>
      </c>
      <c r="H50" s="19" t="inlineStr">
        <is>
          <t>Rumeurs enregistrées</t>
        </is>
      </c>
      <c r="I50" s="19" t="inlineStr">
        <is>
          <t>Fiche SBC journalière (ODK)</t>
        </is>
      </c>
      <c r="J50" s="19" t="inlineStr">
        <is>
          <t>rumeurs_traitees_48h / rumeurs_enregistrees</t>
        </is>
      </c>
      <c r="K50" s="19" t="inlineStr">
        <is>
          <t>Hebdomadaire</t>
        </is>
      </c>
      <c r="L50" s="19" t="inlineStr">
        <is>
          <t>Catégorie</t>
        </is>
      </c>
      <c r="M50" s="19" t="inlineStr">
        <is>
          <t>≥ 80 %</t>
        </is>
      </c>
      <c r="N50" s="19" t="inlineStr">
        <is>
          <t>≥ 80 %</t>
        </is>
      </c>
      <c r="O50" s="19" t="n">
        <v>80</v>
      </c>
      <c r="P50" s="19" t="n">
        <v>80</v>
      </c>
      <c r="Q50" s="19" t="inlineStr">
        <is>
          <t>&lt; 80 % : rouge</t>
        </is>
      </c>
      <c r="R50" s="19" t="inlineStr">
        <is>
          <t>3.6</t>
        </is>
      </c>
      <c r="S50" s="19" t="inlineStr">
        <is>
          <t>15</t>
        </is>
      </c>
      <c r="T50" s="19" t="inlineStr">
        <is>
          <t>à corriger</t>
        </is>
      </c>
      <c r="U50" s="19" t="n">
        <v>1</v>
      </c>
      <c r="V50" s="19" t="inlineStr">
        <is>
          <t>La fiche SBC mesure des réticences levées le jour même : ajouter les champs rumeurs.</t>
        </is>
      </c>
    </row>
    <row r="51">
      <c r="A51" s="19" t="inlineStr">
        <is>
          <t>CREC-07</t>
        </is>
      </c>
      <c r="B51" s="19" t="inlineStr">
        <is>
          <t>CREC</t>
        </is>
      </c>
      <c r="C51" s="19" t="inlineStr">
        <is>
          <t>Supports IEC produits ou distribués</t>
        </is>
      </c>
      <c r="D51" s="19" t="inlineStr">
        <is>
          <t># of IEC materials produced/distributed</t>
        </is>
      </c>
      <c r="E51" s="19" t="inlineStr">
        <is>
          <t>Nombre</t>
        </is>
      </c>
      <c r="F51" s="19" t="inlineStr">
        <is>
          <t>Tier 2</t>
        </is>
      </c>
      <c r="G51" s="19" t="inlineStr">
        <is>
          <t>Supports produits/distribués</t>
        </is>
      </c>
      <c r="H51" s="19" t="inlineStr">
        <is>
          <t>N/A</t>
        </is>
      </c>
      <c r="I51" s="19" t="inlineStr">
        <is>
          <t>Registres de production</t>
        </is>
      </c>
      <c r="J51" s="1" t="n"/>
      <c r="K51" s="19" t="inlineStr">
        <is>
          <t>Mensuelle</t>
        </is>
      </c>
      <c r="L51" s="19" t="inlineStr">
        <is>
          <t>Type, langue</t>
        </is>
      </c>
      <c r="M51" s="19" t="inlineStr">
        <is>
          <t>150 000</t>
        </is>
      </c>
      <c r="N51" s="19" t="inlineStr">
        <is>
          <t>1 500 000</t>
        </is>
      </c>
      <c r="O51" s="19" t="n">
        <v>150000</v>
      </c>
      <c r="P51" s="19" t="n">
        <v>1500000</v>
      </c>
      <c r="Q51" s="1" t="n"/>
      <c r="R51" s="19" t="inlineStr">
        <is>
          <t>3.7</t>
        </is>
      </c>
      <c r="S51" s="1" t="n"/>
      <c r="T51" s="19" t="inlineStr">
        <is>
          <t>existant</t>
        </is>
      </c>
      <c r="U51" s="19" t="n">
        <v>3</v>
      </c>
      <c r="V51" s="1" t="n"/>
    </row>
    <row r="52">
      <c r="A52" s="19" t="inlineStr">
        <is>
          <t>CREC-08</t>
        </is>
      </c>
      <c r="B52" s="19" t="inlineStr">
        <is>
          <t>CREC</t>
        </is>
      </c>
      <c r="C52" s="19" t="inlineStr">
        <is>
          <t>Spots ou jingles radio diffusés</t>
        </is>
      </c>
      <c r="D52" s="19" t="inlineStr">
        <is>
          <t># of radio spots/jingles aired</t>
        </is>
      </c>
      <c r="E52" s="19" t="inlineStr">
        <is>
          <t>Nombre</t>
        </is>
      </c>
      <c r="F52" s="19" t="inlineStr">
        <is>
          <t>Tier 2</t>
        </is>
      </c>
      <c r="G52" s="19" t="inlineStr">
        <is>
          <t>Spots diffusés</t>
        </is>
      </c>
      <c r="H52" s="19" t="inlineStr">
        <is>
          <t>N/A</t>
        </is>
      </c>
      <c r="I52" s="19" t="inlineStr">
        <is>
          <t>Journaux de diffusion</t>
        </is>
      </c>
      <c r="J52" s="19" t="inlineStr">
        <is>
          <t>nb_spots_radio</t>
        </is>
      </c>
      <c r="K52" s="19" t="inlineStr">
        <is>
          <t>Mensuelle</t>
        </is>
      </c>
      <c r="L52" s="19" t="inlineStr">
        <is>
          <t>Station</t>
        </is>
      </c>
      <c r="M52" s="19" t="inlineStr">
        <is>
          <t>400</t>
        </is>
      </c>
      <c r="N52" s="19" t="inlineStr">
        <is>
          <t>3 000</t>
        </is>
      </c>
      <c r="O52" s="19" t="n">
        <v>400</v>
      </c>
      <c r="P52" s="19" t="n">
        <v>3000</v>
      </c>
      <c r="Q52" s="1" t="n"/>
      <c r="R52" s="19" t="inlineStr">
        <is>
          <t>3.8</t>
        </is>
      </c>
      <c r="S52" s="1" t="n"/>
      <c r="T52" s="19" t="inlineStr">
        <is>
          <t>existant</t>
        </is>
      </c>
      <c r="U52" s="19" t="n">
        <v>3</v>
      </c>
      <c r="V52" s="1" t="n"/>
    </row>
    <row r="53">
      <c r="A53" s="19" t="inlineStr">
        <is>
          <t>CREC-09</t>
        </is>
      </c>
      <c r="B53" s="19" t="inlineStr">
        <is>
          <t>CREC</t>
        </is>
      </c>
      <c r="C53" s="19" t="inlineStr">
        <is>
          <t>Émissions radio interactives</t>
        </is>
      </c>
      <c r="D53" s="19" t="inlineStr">
        <is>
          <t># of interactive radio programs conducted</t>
        </is>
      </c>
      <c r="E53" s="19" t="inlineStr">
        <is>
          <t>Nombre</t>
        </is>
      </c>
      <c r="F53" s="19" t="inlineStr">
        <is>
          <t>Tier 2</t>
        </is>
      </c>
      <c r="G53" s="19" t="inlineStr">
        <is>
          <t>Émissions réalisées</t>
        </is>
      </c>
      <c r="H53" s="19" t="inlineStr">
        <is>
          <t>N/A</t>
        </is>
      </c>
      <c r="I53" s="19" t="inlineStr">
        <is>
          <t>Journaux de diffusion</t>
        </is>
      </c>
      <c r="J53" s="19" t="inlineStr">
        <is>
          <t>nb_emissions_interactives</t>
        </is>
      </c>
      <c r="K53" s="19" t="inlineStr">
        <is>
          <t>Mensuelle</t>
        </is>
      </c>
      <c r="L53" s="19" t="inlineStr">
        <is>
          <t>Station</t>
        </is>
      </c>
      <c r="M53" s="19" t="inlineStr">
        <is>
          <t>24</t>
        </is>
      </c>
      <c r="N53" s="19" t="inlineStr">
        <is>
          <t>300</t>
        </is>
      </c>
      <c r="O53" s="19" t="n">
        <v>24</v>
      </c>
      <c r="P53" s="19" t="n">
        <v>300</v>
      </c>
      <c r="Q53" s="1" t="n"/>
      <c r="R53" s="19" t="inlineStr">
        <is>
          <t>3.9</t>
        </is>
      </c>
      <c r="S53" s="1" t="n"/>
      <c r="T53" s="19" t="inlineStr">
        <is>
          <t>existant</t>
        </is>
      </c>
      <c r="U53" s="19" t="n">
        <v>3</v>
      </c>
      <c r="V53" s="1" t="n"/>
    </row>
    <row r="54">
      <c r="A54" s="19" t="inlineStr">
        <is>
          <t>CREC-10</t>
        </is>
      </c>
      <c r="B54" s="19" t="inlineStr">
        <is>
          <t>CREC</t>
        </is>
      </c>
      <c r="C54" s="19" t="inlineStr">
        <is>
          <t>Alertes, ménages ou événements à haut risque ayant reçu un appui CREC</t>
        </is>
      </c>
      <c r="D54" s="19" t="inlineStr">
        <is>
          <t># of high-risk alerts/households/events receiving RCCE support</t>
        </is>
      </c>
      <c r="E54" s="19" t="inlineStr">
        <is>
          <t>Nombre</t>
        </is>
      </c>
      <c r="F54" s="19" t="inlineStr">
        <is>
          <t>Tier 2</t>
        </is>
      </c>
      <c r="G54" s="19" t="inlineStr">
        <is>
          <t>Événements appuyés</t>
        </is>
      </c>
      <c r="H54" s="19" t="inlineStr">
        <is>
          <t>N/A</t>
        </is>
      </c>
      <c r="I54" s="19" t="inlineStr">
        <is>
          <t>Rapports de déploiement CREC</t>
        </is>
      </c>
      <c r="J54" s="1" t="n"/>
      <c r="K54" s="19" t="inlineStr">
        <is>
          <t>Mensuelle</t>
        </is>
      </c>
      <c r="L54" s="19" t="inlineStr">
        <is>
          <t>Type d'événement</t>
        </is>
      </c>
      <c r="M54" s="19" t="inlineStr">
        <is>
          <t>300</t>
        </is>
      </c>
      <c r="N54" s="19" t="inlineStr">
        <is>
          <t>5 000</t>
        </is>
      </c>
      <c r="O54" s="19" t="n">
        <v>300</v>
      </c>
      <c r="P54" s="19" t="n">
        <v>5000</v>
      </c>
      <c r="Q54" s="1" t="n"/>
      <c r="R54" s="19" t="inlineStr">
        <is>
          <t>3.10</t>
        </is>
      </c>
      <c r="S54" s="1" t="n"/>
      <c r="T54" s="19" t="inlineStr">
        <is>
          <t>existant</t>
        </is>
      </c>
      <c r="U54" s="19" t="n">
        <v>2</v>
      </c>
      <c r="V54" s="1" t="n"/>
    </row>
    <row r="55">
      <c r="A55" s="19" t="inlineStr">
        <is>
          <t>CREC-11</t>
        </is>
      </c>
      <c r="B55" s="19" t="inlineStr">
        <is>
          <t>CREC</t>
        </is>
      </c>
      <c r="C55" s="19" t="inlineStr">
        <is>
          <t>Leaders communautaires, religieux et tradipraticiens engagés</t>
        </is>
      </c>
      <c r="D55" s="19" t="inlineStr">
        <is>
          <t># of community leaders/religious leaders/traditional healers engaged</t>
        </is>
      </c>
      <c r="E55" s="19" t="inlineStr">
        <is>
          <t>Nombre</t>
        </is>
      </c>
      <c r="F55" s="19" t="inlineStr">
        <is>
          <t>Tier 2</t>
        </is>
      </c>
      <c r="G55" s="19" t="inlineStr">
        <is>
          <t>Leaders engagés</t>
        </is>
      </c>
      <c r="H55" s="19" t="inlineStr">
        <is>
          <t>N/A</t>
        </is>
      </c>
      <c r="I55" s="19" t="inlineStr">
        <is>
          <t>Rapports d'engagement</t>
        </is>
      </c>
      <c r="J55" s="1" t="n"/>
      <c r="K55" s="19" t="inlineStr">
        <is>
          <t>Mensuelle</t>
        </is>
      </c>
      <c r="L55" s="19" t="inlineStr">
        <is>
          <t>Type de leader, sexe</t>
        </is>
      </c>
      <c r="M55" s="19" t="inlineStr">
        <is>
          <t>200</t>
        </is>
      </c>
      <c r="N55" s="19" t="inlineStr">
        <is>
          <t>2 500</t>
        </is>
      </c>
      <c r="O55" s="19" t="n">
        <v>200</v>
      </c>
      <c r="P55" s="19" t="n">
        <v>2500</v>
      </c>
      <c r="Q55" s="1" t="n"/>
      <c r="R55" s="19" t="inlineStr">
        <is>
          <t>3.11</t>
        </is>
      </c>
      <c r="S55" s="1" t="n"/>
      <c r="T55" s="19" t="inlineStr">
        <is>
          <t>existant</t>
        </is>
      </c>
      <c r="U55" s="19" t="n">
        <v>3</v>
      </c>
      <c r="V55" s="1" t="n"/>
    </row>
    <row r="56">
      <c r="A56" s="19" t="inlineStr">
        <is>
          <t>CREC-12</t>
        </is>
      </c>
      <c r="B56" s="19" t="inlineStr">
        <is>
          <t>CREC</t>
        </is>
      </c>
      <c r="C56" s="19" t="inlineStr">
        <is>
          <t>Écoles atteintes par des séances de sensibilisation</t>
        </is>
      </c>
      <c r="D56" s="19" t="inlineStr">
        <is>
          <t># of schools reached with EVD awareness sessions</t>
        </is>
      </c>
      <c r="E56" s="19" t="inlineStr">
        <is>
          <t>Nombre</t>
        </is>
      </c>
      <c r="F56" s="19" t="inlineStr">
        <is>
          <t>Tier 2</t>
        </is>
      </c>
      <c r="G56" s="19" t="inlineStr">
        <is>
          <t>Écoles atteintes</t>
        </is>
      </c>
      <c r="H56" s="19" t="inlineStr">
        <is>
          <t>N/A</t>
        </is>
      </c>
      <c r="I56" s="19" t="inlineStr">
        <is>
          <t>Fiche SBC journalière (ODK)</t>
        </is>
      </c>
      <c r="J56" s="19" t="inlineStr">
        <is>
          <t>type_site = École</t>
        </is>
      </c>
      <c r="K56" s="19" t="inlineStr">
        <is>
          <t>Mensuelle</t>
        </is>
      </c>
      <c r="L56" s="19" t="inlineStr">
        <is>
          <t>ZS</t>
        </is>
      </c>
      <c r="M56" s="19" t="inlineStr">
        <is>
          <t>100</t>
        </is>
      </c>
      <c r="N56" s="1" t="n"/>
      <c r="O56" s="19" t="n">
        <v>100</v>
      </c>
      <c r="P56" s="1" t="n"/>
      <c r="Q56" s="1" t="n"/>
      <c r="R56" s="19" t="inlineStr">
        <is>
          <t>3.12</t>
        </is>
      </c>
      <c r="S56" s="1" t="n"/>
      <c r="T56" s="19" t="inlineStr">
        <is>
          <t>existant</t>
        </is>
      </c>
      <c r="U56" s="19" t="n">
        <v>3</v>
      </c>
      <c r="V56" s="1" t="n"/>
    </row>
    <row r="57">
      <c r="A57" s="19" t="inlineStr">
        <is>
          <t>CREC-13</t>
        </is>
      </c>
      <c r="B57" s="19" t="inlineStr">
        <is>
          <t>CREC</t>
        </is>
      </c>
      <c r="C57" s="19" t="inlineStr">
        <is>
          <t>Mécanismes de retour communautaire établis</t>
        </is>
      </c>
      <c r="D57" s="19" t="inlineStr">
        <is>
          <t># of community feedback loops established</t>
        </is>
      </c>
      <c r="E57" s="19" t="inlineStr">
        <is>
          <t>Nombre</t>
        </is>
      </c>
      <c r="F57" s="19" t="inlineStr">
        <is>
          <t>Tier 2</t>
        </is>
      </c>
      <c r="G57" s="19" t="inlineStr">
        <is>
          <t>Canaux de retour fonctionnels</t>
        </is>
      </c>
      <c r="H57" s="19" t="inlineStr">
        <is>
          <t>N/A</t>
        </is>
      </c>
      <c r="I57" s="19" t="inlineStr">
        <is>
          <t>Rapports du système de retour</t>
        </is>
      </c>
      <c r="J57" s="1" t="n"/>
      <c r="K57" s="19" t="inlineStr">
        <is>
          <t>Mensuelle</t>
        </is>
      </c>
      <c r="L57" s="19" t="inlineStr">
        <is>
          <t>Type de canal</t>
        </is>
      </c>
      <c r="M57" s="19" t="inlineStr">
        <is>
          <t>15</t>
        </is>
      </c>
      <c r="N57" s="19" t="inlineStr">
        <is>
          <t>150 (milieux de déplacement)</t>
        </is>
      </c>
      <c r="O57" s="19" t="n">
        <v>15</v>
      </c>
      <c r="P57" s="1" t="n"/>
      <c r="Q57" s="1" t="n"/>
      <c r="R57" s="19" t="inlineStr">
        <is>
          <t>3.13</t>
        </is>
      </c>
      <c r="S57" s="1" t="n"/>
      <c r="T57" s="19" t="inlineStr">
        <is>
          <t>existant</t>
        </is>
      </c>
      <c r="U57" s="19" t="n">
        <v>3</v>
      </c>
      <c r="V57" s="1" t="n"/>
    </row>
    <row r="58">
      <c r="A58" s="19" t="inlineStr">
        <is>
          <t>CREC-14</t>
        </is>
      </c>
      <c r="B58" s="19" t="inlineStr">
        <is>
          <t>CREC</t>
        </is>
      </c>
      <c r="C58" s="19" t="inlineStr">
        <is>
          <t>Épisodes de résistance communautaire résolus en 48 h</t>
        </is>
      </c>
      <c r="D58" s="19" t="inlineStr">
        <is>
          <t>% of community resistance events resolved</t>
        </is>
      </c>
      <c r="E58" s="19" t="inlineStr">
        <is>
          <t>Pourcentage</t>
        </is>
      </c>
      <c r="F58" s="19" t="inlineStr">
        <is>
          <t>Tier 1</t>
        </is>
      </c>
      <c r="G58" s="19" t="inlineStr">
        <is>
          <t>Réticences levées dans les 48 h</t>
        </is>
      </c>
      <c r="H58" s="19" t="inlineStr">
        <is>
          <t>Réticences enregistrées</t>
        </is>
      </c>
      <c r="I58" s="19" t="inlineStr">
        <is>
          <t>Fiche SBC journalière (ODK)</t>
        </is>
      </c>
      <c r="J58" s="19" t="inlineStr">
        <is>
          <t>reticences_levees_48h (nouveau) / reticences_enregistrees</t>
        </is>
      </c>
      <c r="K58" s="19" t="inlineStr">
        <is>
          <t>Mensuelle</t>
        </is>
      </c>
      <c r="L58" s="19" t="inlineStr">
        <is>
          <t>ZS</t>
        </is>
      </c>
      <c r="M58" s="19" t="inlineStr">
        <is>
          <t>≥ 80 %</t>
        </is>
      </c>
      <c r="N58" s="1" t="n"/>
      <c r="O58" s="19" t="n">
        <v>80</v>
      </c>
      <c r="P58" s="1" t="n"/>
      <c r="Q58" s="19" t="inlineStr">
        <is>
          <t>&lt; 80 % : rouge</t>
        </is>
      </c>
      <c r="R58" s="19" t="inlineStr">
        <is>
          <t>3.14</t>
        </is>
      </c>
      <c r="S58" s="1" t="n"/>
      <c r="T58" s="19" t="inlineStr">
        <is>
          <t>à corriger</t>
        </is>
      </c>
      <c r="U58" s="19" t="n">
        <v>1</v>
      </c>
      <c r="V58" s="19" t="inlineStr">
        <is>
          <t>Ajouter le délai de 48 h et l'aligner sur la fiche SBC.</t>
        </is>
      </c>
    </row>
    <row r="59">
      <c r="A59" s="19" t="inlineStr">
        <is>
          <t>CREC-15</t>
        </is>
      </c>
      <c r="B59" s="19" t="inlineStr">
        <is>
          <t>CREC</t>
        </is>
      </c>
      <c r="C59" s="19" t="inlineStr">
        <is>
          <t>Retours communautaires clôturés avec réponse à la communauté</t>
        </is>
      </c>
      <c r="D59" s="19" t="inlineStr">
        <is>
          <t>% of feedback items closed with response to the community</t>
        </is>
      </c>
      <c r="E59" s="19" t="inlineStr">
        <is>
          <t>Pourcentage</t>
        </is>
      </c>
      <c r="F59" s="19" t="inlineStr">
        <is>
          <t>Tier 1</t>
        </is>
      </c>
      <c r="G59" s="19" t="inlineStr">
        <is>
          <t>Retours clôturés avec réponse communiquée</t>
        </is>
      </c>
      <c r="H59" s="19" t="inlineStr">
        <is>
          <t>Retours enregistrés</t>
        </is>
      </c>
      <c r="I59" s="19" t="inlineStr">
        <is>
          <t>Registre des retours</t>
        </is>
      </c>
      <c r="J59" s="1" t="n"/>
      <c r="K59" s="19" t="inlineStr">
        <is>
          <t>Mensuelle</t>
        </is>
      </c>
      <c r="L59" s="19" t="inlineStr">
        <is>
          <t>Catégorie</t>
        </is>
      </c>
      <c r="M59" s="1" t="n"/>
      <c r="N59" s="1" t="n"/>
      <c r="O59" s="1" t="n"/>
      <c r="P59" s="1" t="n"/>
      <c r="Q59" s="1" t="n"/>
      <c r="R59" s="1" t="n"/>
      <c r="S59" s="1" t="n"/>
      <c r="T59" s="19" t="inlineStr">
        <is>
          <t>nouveau</t>
        </is>
      </c>
      <c r="U59" s="19" t="n">
        <v>2</v>
      </c>
      <c r="V59" s="1" t="n"/>
    </row>
    <row r="60">
      <c r="A60" s="19" t="inlineStr">
        <is>
          <t>CREC-16</t>
        </is>
      </c>
      <c r="B60" s="19" t="inlineStr">
        <is>
          <t>CREC</t>
        </is>
      </c>
      <c r="C60" s="19" t="inlineStr">
        <is>
          <t>Typologie hebdomadaire des rumeurs</t>
        </is>
      </c>
      <c r="D60" s="19" t="inlineStr">
        <is>
          <t>Distribution of rumors by category</t>
        </is>
      </c>
      <c r="E60" s="19" t="inlineStr">
        <is>
          <t>Ratio</t>
        </is>
      </c>
      <c r="F60" s="19" t="inlineStr">
        <is>
          <t>Contexte</t>
        </is>
      </c>
      <c r="G60" s="19" t="inlineStr">
        <is>
          <t>Rumeurs par catégorie (déni, peur du CTE, EDS, vaccin, stigmatisation...)</t>
        </is>
      </c>
      <c r="H60" s="19" t="inlineStr">
        <is>
          <t>Total des rumeurs</t>
        </is>
      </c>
      <c r="I60" s="19" t="inlineStr">
        <is>
          <t>Registre des rumeurs</t>
        </is>
      </c>
      <c r="J60" s="1" t="n"/>
      <c r="K60" s="19" t="inlineStr">
        <is>
          <t>Hebdomadaire</t>
        </is>
      </c>
      <c r="L60" s="19" t="inlineStr">
        <is>
          <t>Catégorie, ZS</t>
        </is>
      </c>
      <c r="M60" s="1" t="n"/>
      <c r="N60" s="1" t="n"/>
      <c r="O60" s="1" t="n"/>
      <c r="P60" s="1" t="n"/>
      <c r="Q60" s="1" t="n"/>
      <c r="R60" s="1" t="n"/>
      <c r="S60" s="1" t="n"/>
      <c r="T60" s="19" t="inlineStr">
        <is>
          <t>nouveau</t>
        </is>
      </c>
      <c r="U60" s="19" t="n">
        <v>2</v>
      </c>
      <c r="V60" s="1" t="n"/>
    </row>
    <row r="61">
      <c r="A61" s="19" t="inlineStr">
        <is>
          <t>CREC-17</t>
        </is>
      </c>
      <c r="B61" s="19" t="inlineStr">
        <is>
          <t>CREC</t>
        </is>
      </c>
      <c r="C61" s="19" t="inlineStr">
        <is>
          <t>Acceptation des enterrements dignes et sécurisés dans les ZS CGPP</t>
        </is>
      </c>
      <c r="D61" s="19" t="inlineStr">
        <is>
          <t>SDB acceptance rate in CGPP areas</t>
        </is>
      </c>
      <c r="E61" s="19" t="inlineStr">
        <is>
          <t>Pourcentage</t>
        </is>
      </c>
      <c r="F61" s="19" t="inlineStr">
        <is>
          <t>Tier 1</t>
        </is>
      </c>
      <c r="G61" s="19" t="inlineStr">
        <is>
          <t>EDS réalisés</t>
        </is>
      </c>
      <c r="H61" s="19" t="inlineStr">
        <is>
          <t>Alertes de décès nécessitant un EDS</t>
        </is>
      </c>
      <c r="I61" s="19" t="inlineStr">
        <is>
          <t>SitRep national (tableaux par ZS) ; Fiche SBC journalière (ODK)</t>
        </is>
      </c>
      <c r="J61" s="19" t="inlineStr">
        <is>
          <t>deces_communautaires_eds / deces_communautaires_notifies</t>
        </is>
      </c>
      <c r="K61" s="19" t="inlineStr">
        <is>
          <t>Hebdomadaire</t>
        </is>
      </c>
      <c r="L61" s="19" t="inlineStr">
        <is>
          <t>ZS</t>
        </is>
      </c>
      <c r="M61" s="1" t="n"/>
      <c r="N61" s="1" t="n"/>
      <c r="O61" s="1" t="n"/>
      <c r="P61" s="1" t="n"/>
      <c r="Q61" s="19" t="inlineStr">
        <is>
          <t>&lt; 80 % : rouge</t>
        </is>
      </c>
      <c r="R61" s="1" t="n"/>
      <c r="S61" s="1" t="n"/>
      <c r="T61" s="19" t="inlineStr">
        <is>
          <t>nouveau</t>
        </is>
      </c>
      <c r="U61" s="19" t="n">
        <v>1</v>
      </c>
      <c r="V61" s="19" t="inlineStr">
        <is>
          <t>En Ituri, 21 % des EDS échouent (SitRep 149) ; CGPP agit en amont par l'engagement des familles.</t>
        </is>
      </c>
    </row>
    <row r="62">
      <c r="A62" s="19" t="inlineStr">
        <is>
          <t>CREC-18</t>
        </is>
      </c>
      <c r="B62" s="19" t="inlineStr">
        <is>
          <t>CREC</t>
        </is>
      </c>
      <c r="C62" s="19" t="inlineStr">
        <is>
          <t>Connaissances clés de la population (enquête rapide)</t>
        </is>
      </c>
      <c r="D62" s="19" t="inlineStr">
        <is>
          <t>% of people knowing ≥3 EVD signs and the 151 hotline</t>
        </is>
      </c>
      <c r="E62" s="19" t="inlineStr">
        <is>
          <t>Pourcentage</t>
        </is>
      </c>
      <c r="F62" s="19" t="inlineStr">
        <is>
          <t>Résultat</t>
        </is>
      </c>
      <c r="G62" s="19" t="inlineStr">
        <is>
          <t>Personnes interrogées connaissant au moins 3 signes et le numéro vert 151</t>
        </is>
      </c>
      <c r="H62" s="19" t="inlineStr">
        <is>
          <t>Personnes interrogées</t>
        </is>
      </c>
      <c r="I62" s="19" t="inlineStr">
        <is>
          <t>Enquête rapide (téléphone ou ménages)</t>
        </is>
      </c>
      <c r="J62" s="1" t="n"/>
      <c r="K62" s="19" t="inlineStr">
        <is>
          <t>Trimestrielle</t>
        </is>
      </c>
      <c r="L62" s="19" t="inlineStr">
        <is>
          <t>Sexe, âge, ZS</t>
        </is>
      </c>
      <c r="M62" s="1" t="n"/>
      <c r="N62" s="1" t="n"/>
      <c r="O62" s="1" t="n"/>
      <c r="P62" s="1" t="n"/>
      <c r="Q62" s="1" t="n"/>
      <c r="R62" s="1" t="n"/>
      <c r="S62" s="1" t="n"/>
      <c r="T62" s="19" t="inlineStr">
        <is>
          <t>nouveau</t>
        </is>
      </c>
      <c r="U62" s="19" t="n">
        <v>3</v>
      </c>
      <c r="V62" s="1" t="n"/>
    </row>
    <row r="63">
      <c r="A63" s="19" t="inlineStr">
        <is>
          <t>CREC-19</t>
        </is>
      </c>
      <c r="B63" s="19" t="inlineStr">
        <is>
          <t>CREC</t>
        </is>
      </c>
      <c r="C63" s="19" t="inlineStr">
        <is>
          <t>Personnel et volontaires CGPP formés à la PSEA (code de conduite signé)</t>
        </is>
      </c>
      <c r="D63" s="19" t="inlineStr">
        <is>
          <t>% of CGPP staff and volunteers trained in PSEA</t>
        </is>
      </c>
      <c r="E63" s="19" t="inlineStr">
        <is>
          <t>Pourcentage</t>
        </is>
      </c>
      <c r="F63" s="19" t="inlineStr">
        <is>
          <t>Tier 2</t>
        </is>
      </c>
      <c r="G63" s="19" t="inlineStr">
        <is>
          <t>Agents et volontaires formés ayant signé le code de conduite</t>
        </is>
      </c>
      <c r="H63" s="19" t="inlineStr">
        <is>
          <t>Agents et volontaires actifs</t>
        </is>
      </c>
      <c r="I63" s="19" t="inlineStr">
        <is>
          <t>Registres RH et de formation</t>
        </is>
      </c>
      <c r="J63" s="1" t="n"/>
      <c r="K63" s="19" t="inlineStr">
        <is>
          <t>Mensuelle</t>
        </is>
      </c>
      <c r="L63" s="19" t="inlineStr">
        <is>
          <t>IP, sexe</t>
        </is>
      </c>
      <c r="M63" s="1" t="n"/>
      <c r="N63" s="1" t="n"/>
      <c r="O63" s="1" t="n"/>
      <c r="P63" s="1" t="n"/>
      <c r="Q63" s="19" t="inlineStr">
        <is>
          <t>&lt; 100 % : rouge</t>
        </is>
      </c>
      <c r="R63" s="1" t="n"/>
      <c r="S63" s="1" t="n"/>
      <c r="T63" s="19" t="inlineStr">
        <is>
          <t>nouveau</t>
        </is>
      </c>
      <c r="U63" s="19" t="n">
        <v>1</v>
      </c>
      <c r="V63" s="19" t="inlineStr">
        <is>
          <t>Le SitRep relève que seules 13 ZS sur 36 en Ituri connaissent le mécanisme de signalement.</t>
        </is>
      </c>
    </row>
    <row r="64">
      <c r="A64" s="19" t="inlineStr">
        <is>
          <t>PCI-01</t>
        </is>
      </c>
      <c r="B64" s="19" t="inlineStr">
        <is>
          <t>PCI</t>
        </is>
      </c>
      <c r="C64" s="19" t="inlineStr">
        <is>
          <t>Alertes de décès communautaires référées aux équipes EDS</t>
        </is>
      </c>
      <c r="D64" s="19" t="inlineStr">
        <is>
          <t># of community death alerts referred to SDB teams</t>
        </is>
      </c>
      <c r="E64" s="19" t="inlineStr">
        <is>
          <t>Nombre</t>
        </is>
      </c>
      <c r="F64" s="19" t="inlineStr">
        <is>
          <t>Tier 2</t>
        </is>
      </c>
      <c r="G64" s="19" t="inlineStr">
        <is>
          <t>Alertes de décès référées</t>
        </is>
      </c>
      <c r="H64" s="19" t="inlineStr">
        <is>
          <t>N/A</t>
        </is>
      </c>
      <c r="I64" s="19" t="inlineStr">
        <is>
          <t>Fiche SBC journalière (ODK)</t>
        </is>
      </c>
      <c r="J64" s="19" t="inlineStr">
        <is>
          <t>deces_communautaires_notifies</t>
        </is>
      </c>
      <c r="K64" s="19" t="inlineStr">
        <is>
          <t>Hebdomadaire</t>
        </is>
      </c>
      <c r="L64" s="19" t="inlineStr">
        <is>
          <t>ZS</t>
        </is>
      </c>
      <c r="M64" s="19" t="inlineStr">
        <is>
          <t>300</t>
        </is>
      </c>
      <c r="N64" s="19" t="inlineStr">
        <is>
          <t>1 000</t>
        </is>
      </c>
      <c r="O64" s="19" t="n">
        <v>300</v>
      </c>
      <c r="P64" s="19" t="n">
        <v>1000</v>
      </c>
      <c r="Q64" s="1" t="n"/>
      <c r="R64" s="19" t="inlineStr">
        <is>
          <t>4.1</t>
        </is>
      </c>
      <c r="S64" s="1" t="n"/>
      <c r="T64" s="19" t="inlineStr">
        <is>
          <t>existant</t>
        </is>
      </c>
      <c r="U64" s="19" t="n">
        <v>1</v>
      </c>
      <c r="V64" s="1" t="n"/>
    </row>
    <row r="65">
      <c r="A65" s="19" t="inlineStr">
        <is>
          <t>PCI-02</t>
        </is>
      </c>
      <c r="B65" s="19" t="inlineStr">
        <is>
          <t>PCI</t>
        </is>
      </c>
      <c r="C65" s="19" t="inlineStr">
        <is>
          <t>Événements funéraires éligibles appuyés pour identifier les contacts</t>
        </is>
      </c>
      <c r="D65" s="19" t="inlineStr">
        <is>
          <t>% of eligible funeral-linked events supported for contact identification</t>
        </is>
      </c>
      <c r="E65" s="19" t="inlineStr">
        <is>
          <t>Pourcentage</t>
        </is>
      </c>
      <c r="F65" s="19" t="inlineStr">
        <is>
          <t>Tier 1</t>
        </is>
      </c>
      <c r="G65" s="19" t="inlineStr">
        <is>
          <t>Événements appuyés</t>
        </is>
      </c>
      <c r="H65" s="19" t="inlineStr">
        <is>
          <t>Événements éligibles</t>
        </is>
      </c>
      <c r="I65" s="19" t="inlineStr">
        <is>
          <t>Journal de surveillance funéraire</t>
        </is>
      </c>
      <c r="J65" s="1" t="n"/>
      <c r="K65" s="19" t="inlineStr">
        <is>
          <t>Hebdomadaire</t>
        </is>
      </c>
      <c r="L65" s="19" t="inlineStr">
        <is>
          <t>ZS</t>
        </is>
      </c>
      <c r="M65" s="19" t="inlineStr">
        <is>
          <t>100 %</t>
        </is>
      </c>
      <c r="N65" s="1" t="n"/>
      <c r="O65" s="19" t="n">
        <v>100</v>
      </c>
      <c r="P65" s="1" t="n"/>
      <c r="Q65" s="1" t="n"/>
      <c r="R65" s="19" t="inlineStr">
        <is>
          <t>4.2</t>
        </is>
      </c>
      <c r="S65" s="1" t="n"/>
      <c r="T65" s="19" t="inlineStr">
        <is>
          <t>à corriger</t>
        </is>
      </c>
      <c r="U65" s="19" t="n">
        <v>2</v>
      </c>
      <c r="V65" s="19" t="inlineStr">
        <is>
          <t>Cible codée « 1 » : écrire 100 %.</t>
        </is>
      </c>
    </row>
    <row r="66">
      <c r="A66" s="19" t="inlineStr">
        <is>
          <t>PCI-03</t>
        </is>
      </c>
      <c r="B66" s="19" t="inlineStr">
        <is>
          <t>PCI</t>
        </is>
      </c>
      <c r="C66" s="19" t="inlineStr">
        <is>
          <t>FOSA et sites communautaires appuyés en PCI</t>
        </is>
      </c>
      <c r="D66" s="19" t="inlineStr">
        <is>
          <t># of health facilities/community sites supported with IPC/readiness inputs</t>
        </is>
      </c>
      <c r="E66" s="19" t="inlineStr">
        <is>
          <t>Nombre</t>
        </is>
      </c>
      <c r="F66" s="19" t="inlineStr">
        <is>
          <t>Tier 2</t>
        </is>
      </c>
      <c r="G66" s="19" t="inlineStr">
        <is>
          <t>Sites ayant reçu un appui PCI</t>
        </is>
      </c>
      <c r="H66" s="19" t="inlineStr">
        <is>
          <t>N/A</t>
        </is>
      </c>
      <c r="I66" s="19" t="inlineStr">
        <is>
          <t>Rapports de supervision</t>
        </is>
      </c>
      <c r="J66" s="1" t="n"/>
      <c r="K66" s="19" t="inlineStr">
        <is>
          <t>Mensuelle</t>
        </is>
      </c>
      <c r="L66" s="19" t="inlineStr">
        <is>
          <t>Type de site, ZS</t>
        </is>
      </c>
      <c r="M66" s="19" t="inlineStr">
        <is>
          <t>150</t>
        </is>
      </c>
      <c r="N66" s="19" t="inlineStr">
        <is>
          <t>1 200</t>
        </is>
      </c>
      <c r="O66" s="19" t="n">
        <v>150</v>
      </c>
      <c r="P66" s="19" t="n">
        <v>1200</v>
      </c>
      <c r="Q66" s="1" t="n"/>
      <c r="R66" s="19" t="inlineStr">
        <is>
          <t>4.3</t>
        </is>
      </c>
      <c r="S66" s="19" t="inlineStr">
        <is>
          <t>20</t>
        </is>
      </c>
      <c r="T66" s="19" t="inlineStr">
        <is>
          <t>existant</t>
        </is>
      </c>
      <c r="U66" s="19" t="n">
        <v>2</v>
      </c>
      <c r="V66" s="1" t="n"/>
    </row>
    <row r="67">
      <c r="A67" s="19" t="inlineStr">
        <is>
          <t>PCI-04</t>
        </is>
      </c>
      <c r="B67" s="19" t="inlineStr">
        <is>
          <t>PCI</t>
        </is>
      </c>
      <c r="C67" s="19" t="inlineStr">
        <is>
          <t>Kits EPI/PCI acquis et distribués</t>
        </is>
      </c>
      <c r="D67" s="19" t="inlineStr">
        <is>
          <t># of PPE/IPC kits or supplies procured and distributed</t>
        </is>
      </c>
      <c r="E67" s="19" t="inlineStr">
        <is>
          <t>Nombre</t>
        </is>
      </c>
      <c r="F67" s="19" t="inlineStr">
        <is>
          <t>Tier 2</t>
        </is>
      </c>
      <c r="G67" s="19" t="inlineStr">
        <is>
          <t>Kits distribués</t>
        </is>
      </c>
      <c r="H67" s="19" t="inlineStr">
        <is>
          <t>N/A</t>
        </is>
      </c>
      <c r="I67" s="19" t="inlineStr">
        <is>
          <t>Registres d'achat et de distribution</t>
        </is>
      </c>
      <c r="J67" s="1" t="n"/>
      <c r="K67" s="19" t="inlineStr">
        <is>
          <t>Mensuelle</t>
        </is>
      </c>
      <c r="L67" s="19" t="inlineStr">
        <is>
          <t>Type de kit</t>
        </is>
      </c>
      <c r="M67" s="19" t="inlineStr">
        <is>
          <t>1 500</t>
        </is>
      </c>
      <c r="N67" s="19" t="inlineStr">
        <is>
          <t>250 kits PCI/WASH + 500 kits de préparation</t>
        </is>
      </c>
      <c r="O67" s="19" t="n">
        <v>1500</v>
      </c>
      <c r="P67" s="1" t="n"/>
      <c r="Q67" s="1" t="n"/>
      <c r="R67" s="19" t="inlineStr">
        <is>
          <t>4.4</t>
        </is>
      </c>
      <c r="S67" s="19" t="inlineStr">
        <is>
          <t>19</t>
        </is>
      </c>
      <c r="T67" s="19" t="inlineStr">
        <is>
          <t>à corriger</t>
        </is>
      </c>
      <c r="U67" s="19" t="n">
        <v>2</v>
      </c>
      <c r="V67" s="19" t="inlineStr">
        <is>
          <t>La cible de 1 500 correspond aux 1 500 agents équipés en EPI (activité 5.6) : ne pas compter deux fois.</t>
        </is>
      </c>
    </row>
    <row r="68">
      <c r="A68" s="19" t="inlineStr">
        <is>
          <t>PCI-05</t>
        </is>
      </c>
      <c r="B68" s="19" t="inlineStr">
        <is>
          <t>PCI</t>
        </is>
      </c>
      <c r="C68" s="19" t="inlineStr">
        <is>
          <t>Références (cas suspects, contacts symptomatiques, échantillons) coordonnées et suivies</t>
        </is>
      </c>
      <c r="D68" s="19" t="inlineStr">
        <is>
          <t># of suspected case, symptomatic contact, referral, or sample transport actions coordinated and tracked</t>
        </is>
      </c>
      <c r="E68" s="19" t="inlineStr">
        <is>
          <t>Nombre</t>
        </is>
      </c>
      <c r="F68" s="19" t="inlineStr">
        <is>
          <t>Tier 1</t>
        </is>
      </c>
      <c r="G68" s="19" t="inlineStr">
        <is>
          <t>Références coordonnées et suivies</t>
        </is>
      </c>
      <c r="H68" s="19" t="inlineStr">
        <is>
          <t>N/A</t>
        </is>
      </c>
      <c r="I68" s="19" t="inlineStr">
        <is>
          <t>Registre des références ; Fiche SBC journalière (ODK)</t>
        </is>
      </c>
      <c r="J68" s="19" t="inlineStr">
        <is>
          <t>malades_orientes_ct_cte ; transport d'échantillons</t>
        </is>
      </c>
      <c r="K68" s="19" t="inlineStr">
        <is>
          <t>Hebdomadaire</t>
        </is>
      </c>
      <c r="L68" s="19" t="inlineStr">
        <is>
          <t>Type (cas suspect, contact, échantillon)</t>
        </is>
      </c>
      <c r="M68" s="19" t="inlineStr">
        <is>
          <t>400</t>
        </is>
      </c>
      <c r="N68" s="19" t="inlineStr">
        <is>
          <t>5 000 (milieux de déplacement)</t>
        </is>
      </c>
      <c r="O68" s="19" t="n">
        <v>400</v>
      </c>
      <c r="P68" s="1" t="n"/>
      <c r="Q68" s="1" t="n"/>
      <c r="R68" s="19" t="inlineStr">
        <is>
          <t>4.5</t>
        </is>
      </c>
      <c r="S68" s="19" t="inlineStr">
        <is>
          <t>18</t>
        </is>
      </c>
      <c r="T68" s="19" t="inlineStr">
        <is>
          <t>existant</t>
        </is>
      </c>
      <c r="U68" s="19" t="n">
        <v>1</v>
      </c>
      <c r="V68" s="1" t="n"/>
    </row>
    <row r="69">
      <c r="A69" s="19" t="inlineStr">
        <is>
          <t>PCI-06</t>
        </is>
      </c>
      <c r="B69" s="19" t="inlineStr">
        <is>
          <t>PCI</t>
        </is>
      </c>
      <c r="C69" s="19" t="inlineStr">
        <is>
          <t>Contacts à haut risque appuyés pendant la quarantaine</t>
        </is>
      </c>
      <c r="D69" s="19" t="inlineStr">
        <is>
          <t># of high-risk contacts supported through quarantine follow-up</t>
        </is>
      </c>
      <c r="E69" s="19" t="inlineStr">
        <is>
          <t>Nombre</t>
        </is>
      </c>
      <c r="F69" s="19" t="inlineStr">
        <is>
          <t>Tier 2</t>
        </is>
      </c>
      <c r="G69" s="19" t="inlineStr">
        <is>
          <t>Contacts appuyés</t>
        </is>
      </c>
      <c r="H69" s="19" t="inlineStr">
        <is>
          <t>N/A</t>
        </is>
      </c>
      <c r="I69" s="19" t="inlineStr">
        <is>
          <t>Registres de quarantaine</t>
        </is>
      </c>
      <c r="J69" s="1" t="n"/>
      <c r="K69" s="19" t="inlineStr">
        <is>
          <t>Hebdomadaire</t>
        </is>
      </c>
      <c r="L69" s="19" t="inlineStr">
        <is>
          <t>ZS</t>
        </is>
      </c>
      <c r="M69" s="19" t="inlineStr">
        <is>
          <t>1 000</t>
        </is>
      </c>
      <c r="N69" s="1" t="n"/>
      <c r="O69" s="19" t="n">
        <v>1000</v>
      </c>
      <c r="P69" s="1" t="n"/>
      <c r="Q69" s="1" t="n"/>
      <c r="R69" s="19" t="inlineStr">
        <is>
          <t>4.6</t>
        </is>
      </c>
      <c r="S69" s="1" t="n"/>
      <c r="T69" s="19" t="inlineStr">
        <is>
          <t>existant</t>
        </is>
      </c>
      <c r="U69" s="19" t="n">
        <v>2</v>
      </c>
      <c r="V69" s="1" t="n"/>
    </row>
    <row r="70">
      <c r="A70" s="19" t="inlineStr">
        <is>
          <t>PCI-07</t>
        </is>
      </c>
      <c r="B70" s="19" t="inlineStr">
        <is>
          <t>PCI</t>
        </is>
      </c>
      <c r="C70" s="19" t="inlineStr">
        <is>
          <t>Séances d'orientation ou de formation PCI</t>
        </is>
      </c>
      <c r="D70" s="19" t="inlineStr">
        <is>
          <t># of IPC orientation/training sessions conducted</t>
        </is>
      </c>
      <c r="E70" s="19" t="inlineStr">
        <is>
          <t>Nombre</t>
        </is>
      </c>
      <c r="F70" s="19" t="inlineStr">
        <is>
          <t>Tier 2</t>
        </is>
      </c>
      <c r="G70" s="19" t="inlineStr">
        <is>
          <t>Séances tenues (et participants formés, à rapporter à part)</t>
        </is>
      </c>
      <c r="H70" s="19" t="inlineStr">
        <is>
          <t>N/A</t>
        </is>
      </c>
      <c r="I70" s="19" t="inlineStr">
        <is>
          <t>Rapports de formation</t>
        </is>
      </c>
      <c r="J70" s="1" t="n"/>
      <c r="K70" s="19" t="inlineStr">
        <is>
          <t>Mensuelle</t>
        </is>
      </c>
      <c r="L70" s="19" t="inlineStr">
        <is>
          <t>Type de participant, sexe</t>
        </is>
      </c>
      <c r="M70" s="19" t="inlineStr">
        <is>
          <t>150</t>
        </is>
      </c>
      <c r="N70" s="19" t="inlineStr">
        <is>
          <t>8 000 participants</t>
        </is>
      </c>
      <c r="O70" s="19" t="n">
        <v>150</v>
      </c>
      <c r="P70" s="1" t="n"/>
      <c r="Q70" s="1" t="n"/>
      <c r="R70" s="19" t="inlineStr">
        <is>
          <t>4.7</t>
        </is>
      </c>
      <c r="S70" s="1" t="n"/>
      <c r="T70" s="19" t="inlineStr">
        <is>
          <t>à corriger</t>
        </is>
      </c>
      <c r="U70" s="19" t="n">
        <v>2</v>
      </c>
      <c r="V70" s="19" t="inlineStr">
        <is>
          <t>Le plan DOS compte des séances, la Tranche 5 des participants : rapporter les deux.</t>
        </is>
      </c>
    </row>
    <row r="71">
      <c r="A71" s="19" t="inlineStr">
        <is>
          <t>PCI-08</t>
        </is>
      </c>
      <c r="B71" s="19" t="inlineStr">
        <is>
          <t>PCI</t>
        </is>
      </c>
      <c r="C71" s="19" t="inlineStr">
        <is>
          <t>Circuits de référence cartographiés et mis à jour</t>
        </is>
      </c>
      <c r="D71" s="19" t="inlineStr">
        <is>
          <t># of referral pathways mapped and updated</t>
        </is>
      </c>
      <c r="E71" s="19" t="inlineStr">
        <is>
          <t>Nombre</t>
        </is>
      </c>
      <c r="F71" s="19" t="inlineStr">
        <is>
          <t>Tier 2</t>
        </is>
      </c>
      <c r="G71" s="19" t="inlineStr">
        <is>
          <t>Circuits cartographiés</t>
        </is>
      </c>
      <c r="H71" s="19" t="inlineStr">
        <is>
          <t>N/A</t>
        </is>
      </c>
      <c r="I71" s="19" t="inlineStr">
        <is>
          <t>Cartographies</t>
        </is>
      </c>
      <c r="J71" s="1" t="n"/>
      <c r="K71" s="19" t="inlineStr">
        <is>
          <t>Mensuelle</t>
        </is>
      </c>
      <c r="L71" s="19" t="inlineStr">
        <is>
          <t>ZS</t>
        </is>
      </c>
      <c r="M71" s="19" t="inlineStr">
        <is>
          <t>20</t>
        </is>
      </c>
      <c r="N71" s="1" t="n"/>
      <c r="O71" s="19" t="n">
        <v>20</v>
      </c>
      <c r="P71" s="1" t="n"/>
      <c r="Q71" s="1" t="n"/>
      <c r="R71" s="19" t="inlineStr">
        <is>
          <t>4.8</t>
        </is>
      </c>
      <c r="S71" s="1" t="n"/>
      <c r="T71" s="19" t="inlineStr">
        <is>
          <t>existant</t>
        </is>
      </c>
      <c r="U71" s="19" t="n">
        <v>3</v>
      </c>
      <c r="V71" s="1" t="n"/>
    </row>
    <row r="72">
      <c r="A72" s="19" t="inlineStr">
        <is>
          <t>PCI-09</t>
        </is>
      </c>
      <c r="B72" s="19" t="inlineStr">
        <is>
          <t>PCI</t>
        </is>
      </c>
      <c r="C72" s="19" t="inlineStr">
        <is>
          <t>Références dont l'aboutissement est confirmé</t>
        </is>
      </c>
      <c r="D72" s="19" t="inlineStr">
        <is>
          <t>% of referrals with confirmed completion</t>
        </is>
      </c>
      <c r="E72" s="19" t="inlineStr">
        <is>
          <t>Pourcentage</t>
        </is>
      </c>
      <c r="F72" s="19" t="inlineStr">
        <is>
          <t>Tier 1</t>
        </is>
      </c>
      <c r="G72" s="19" t="inlineStr">
        <is>
          <t>Références arrivées à destination</t>
        </is>
      </c>
      <c r="H72" s="19" t="inlineStr">
        <is>
          <t>Références suivies</t>
        </is>
      </c>
      <c r="I72" s="19" t="inlineStr">
        <is>
          <t>Registre des références ; Fiche SBC journalière (ODK)</t>
        </is>
      </c>
      <c r="J72" s="19" t="inlineStr">
        <is>
          <t>malades_arrives_fosa / malades_orientes_fosa</t>
        </is>
      </c>
      <c r="K72" s="19" t="inlineStr">
        <is>
          <t>Hebdomadaire</t>
        </is>
      </c>
      <c r="L72" s="19" t="inlineStr">
        <is>
          <t>Type</t>
        </is>
      </c>
      <c r="M72" s="19" t="inlineStr">
        <is>
          <t>≥ 90 %</t>
        </is>
      </c>
      <c r="N72" s="1" t="n"/>
      <c r="O72" s="19" t="n">
        <v>90</v>
      </c>
      <c r="P72" s="1" t="n"/>
      <c r="Q72" s="19" t="inlineStr">
        <is>
          <t>&lt; 90 % : rouge</t>
        </is>
      </c>
      <c r="R72" s="19" t="inlineStr">
        <is>
          <t>4.9</t>
        </is>
      </c>
      <c r="S72" s="1" t="n"/>
      <c r="T72" s="19" t="inlineStr">
        <is>
          <t>existant</t>
        </is>
      </c>
      <c r="U72" s="19" t="n">
        <v>1</v>
      </c>
      <c r="V72" s="1" t="n"/>
    </row>
    <row r="73">
      <c r="A73" s="19" t="inlineStr">
        <is>
          <t>PCI-10</t>
        </is>
      </c>
      <c r="B73" s="19" t="inlineStr">
        <is>
          <t>PCI</t>
        </is>
      </c>
      <c r="C73" s="19" t="inlineStr">
        <is>
          <t>Séances d'engagement des familles pour l'acceptation des EDS</t>
        </is>
      </c>
      <c r="D73" s="19" t="inlineStr">
        <is>
          <t># of family engagement sessions conducted for SDB acceptance</t>
        </is>
      </c>
      <c r="E73" s="19" t="inlineStr">
        <is>
          <t>Nombre</t>
        </is>
      </c>
      <c r="F73" s="19" t="inlineStr">
        <is>
          <t>Tier 2</t>
        </is>
      </c>
      <c r="G73" s="19" t="inlineStr">
        <is>
          <t>Séances tenues</t>
        </is>
      </c>
      <c r="H73" s="19" t="inlineStr">
        <is>
          <t>N/A</t>
        </is>
      </c>
      <c r="I73" s="19" t="inlineStr">
        <is>
          <t>Rapports d'engagement EDS</t>
        </is>
      </c>
      <c r="J73" s="1" t="n"/>
      <c r="K73" s="19" t="inlineStr">
        <is>
          <t>Mensuelle</t>
        </is>
      </c>
      <c r="L73" s="19" t="inlineStr">
        <is>
          <t>ZS</t>
        </is>
      </c>
      <c r="M73" s="19" t="inlineStr">
        <is>
          <t>250</t>
        </is>
      </c>
      <c r="N73" s="1" t="n"/>
      <c r="O73" s="19" t="n">
        <v>250</v>
      </c>
      <c r="P73" s="1" t="n"/>
      <c r="Q73" s="1" t="n"/>
      <c r="R73" s="19" t="inlineStr">
        <is>
          <t>4.10</t>
        </is>
      </c>
      <c r="S73" s="1" t="n"/>
      <c r="T73" s="19" t="inlineStr">
        <is>
          <t>existant</t>
        </is>
      </c>
      <c r="U73" s="19" t="n">
        <v>2</v>
      </c>
      <c r="V73" s="1" t="n"/>
    </row>
    <row r="74">
      <c r="A74" s="19" t="inlineStr">
        <is>
          <t>PCI-11</t>
        </is>
      </c>
      <c r="B74" s="19" t="inlineStr">
        <is>
          <t>PCI</t>
        </is>
      </c>
      <c r="C74" s="19" t="inlineStr">
        <is>
          <t>FOSA appuyées avec un score PCI d'au moins 80 %</t>
        </is>
      </c>
      <c r="D74" s="19" t="inlineStr">
        <is>
          <t>% of supported facilities with IPC score ≥80%</t>
        </is>
      </c>
      <c r="E74" s="19" t="inlineStr">
        <is>
          <t>Pourcentage</t>
        </is>
      </c>
      <c r="F74" s="19" t="inlineStr">
        <is>
          <t>Résultat</t>
        </is>
      </c>
      <c r="G74" s="19" t="inlineStr">
        <is>
          <t>FOSA appuyées avec score ≥ 80 %</t>
        </is>
      </c>
      <c r="H74" s="19" t="inlineStr">
        <is>
          <t>FOSA appuyées évaluées</t>
        </is>
      </c>
      <c r="I74" s="19" t="inlineStr">
        <is>
          <t>Score card PCI</t>
        </is>
      </c>
      <c r="J74" s="1" t="n"/>
      <c r="K74" s="19" t="inlineStr">
        <is>
          <t>Mensuelle</t>
        </is>
      </c>
      <c r="L74" s="19" t="inlineStr">
        <is>
          <t>ZS</t>
        </is>
      </c>
      <c r="M74" s="1" t="n"/>
      <c r="N74" s="1" t="n"/>
      <c r="O74" s="1" t="n"/>
      <c r="P74" s="1" t="n"/>
      <c r="Q74" s="1" t="n"/>
      <c r="R74" s="1" t="n"/>
      <c r="S74" s="1" t="n"/>
      <c r="T74" s="19" t="inlineStr">
        <is>
          <t>nouveau</t>
        </is>
      </c>
      <c r="U74" s="19" t="n">
        <v>2</v>
      </c>
      <c r="V74" s="19" t="inlineStr">
        <is>
          <t>Le SitRep montre des scores moyens de 31 à 38 % au Nord-Kivu.</t>
        </is>
      </c>
    </row>
    <row r="75">
      <c r="A75" s="19" t="inlineStr">
        <is>
          <t>PCI-12</t>
        </is>
      </c>
      <c r="B75" s="19" t="inlineStr">
        <is>
          <t>PCI</t>
        </is>
      </c>
      <c r="C75" s="19" t="inlineStr">
        <is>
          <t>Infections de prestataires de première ligne dans les ZS CGPP</t>
        </is>
      </c>
      <c r="D75" s="19" t="inlineStr">
        <is>
          <t># of health worker infections in CGPP areas</t>
        </is>
      </c>
      <c r="E75" s="19" t="inlineStr">
        <is>
          <t>Nombre</t>
        </is>
      </c>
      <c r="F75" s="19" t="inlineStr">
        <is>
          <t>Contexte</t>
        </is>
      </c>
      <c r="G75" s="19" t="inlineStr">
        <is>
          <t>PPL confirmés</t>
        </is>
      </c>
      <c r="H75" s="19" t="inlineStr">
        <is>
          <t>N/A</t>
        </is>
      </c>
      <c r="I75" s="19" t="inlineStr">
        <is>
          <t>SitRep national (tableaux par ZS)</t>
        </is>
      </c>
      <c r="J75" s="1" t="n"/>
      <c r="K75" s="19" t="inlineStr">
        <is>
          <t>Hebdomadaire</t>
        </is>
      </c>
      <c r="L75" s="19" t="inlineStr">
        <is>
          <t>ZS</t>
        </is>
      </c>
      <c r="M75" s="1" t="n"/>
      <c r="N75" s="1" t="n"/>
      <c r="O75" s="1" t="n"/>
      <c r="P75" s="1" t="n"/>
      <c r="Q75" s="19" t="inlineStr">
        <is>
          <t>Tout cas : alerte</t>
        </is>
      </c>
      <c r="R75" s="1" t="n"/>
      <c r="S75" s="1" t="n"/>
      <c r="T75" s="19" t="inlineStr">
        <is>
          <t>nouveau</t>
        </is>
      </c>
      <c r="U75" s="19" t="n">
        <v>1</v>
      </c>
      <c r="V75" s="19" t="inlineStr">
        <is>
          <t>Indicateur sentinelle d'échec de la PCI.</t>
        </is>
      </c>
    </row>
    <row r="76">
      <c r="A76" s="19" t="inlineStr">
        <is>
          <t>PCI-13</t>
        </is>
      </c>
      <c r="B76" s="19" t="inlineStr">
        <is>
          <t>PCI</t>
        </is>
      </c>
      <c r="C76" s="19" t="inlineStr">
        <is>
          <t>FOSA appuyées avec triage et poste de lavage des mains fonctionnels</t>
        </is>
      </c>
      <c r="D76" s="19" t="inlineStr">
        <is>
          <t>% of supported facilities with functional triage and handwashing station</t>
        </is>
      </c>
      <c r="E76" s="19" t="inlineStr">
        <is>
          <t>Pourcentage</t>
        </is>
      </c>
      <c r="F76" s="19" t="inlineStr">
        <is>
          <t>Résultat</t>
        </is>
      </c>
      <c r="G76" s="19" t="inlineStr">
        <is>
          <t>FOSA avec triage et lavage des mains fonctionnels</t>
        </is>
      </c>
      <c r="H76" s="19" t="inlineStr">
        <is>
          <t>FOSA appuyées</t>
        </is>
      </c>
      <c r="I76" s="19" t="inlineStr">
        <is>
          <t>Supervision PCI</t>
        </is>
      </c>
      <c r="J76" s="1" t="n"/>
      <c r="K76" s="19" t="inlineStr">
        <is>
          <t>Mensuelle</t>
        </is>
      </c>
      <c r="L76" s="19" t="inlineStr">
        <is>
          <t>ZS</t>
        </is>
      </c>
      <c r="M76" s="1" t="n"/>
      <c r="N76" s="1" t="n"/>
      <c r="O76" s="1" t="n"/>
      <c r="P76" s="1" t="n"/>
      <c r="Q76" s="1" t="n"/>
      <c r="R76" s="1" t="n"/>
      <c r="S76" s="1" t="n"/>
      <c r="T76" s="19" t="inlineStr">
        <is>
          <t>nouveau</t>
        </is>
      </c>
      <c r="U76" s="19" t="n">
        <v>2</v>
      </c>
      <c r="V76" s="19" t="inlineStr">
        <is>
          <t>Les réunions de coordination signalent le manque d'eau aux PoC et dans les écoles.</t>
        </is>
      </c>
    </row>
    <row r="77">
      <c r="A77" s="19" t="inlineStr">
        <is>
          <t>PCI-14</t>
        </is>
      </c>
      <c r="B77" s="19" t="inlineStr">
        <is>
          <t>PCI</t>
        </is>
      </c>
      <c r="C77" s="19" t="inlineStr">
        <is>
          <t>Sites évalués et priorisés en PCI/WASH</t>
        </is>
      </c>
      <c r="D77" s="19" t="inlineStr">
        <is>
          <t># of IPC/WASH sites assessed</t>
        </is>
      </c>
      <c r="E77" s="19" t="inlineStr">
        <is>
          <t>Nombre</t>
        </is>
      </c>
      <c r="F77" s="19" t="inlineStr">
        <is>
          <t>Tier 2</t>
        </is>
      </c>
      <c r="G77" s="19" t="inlineStr">
        <is>
          <t>Sites évalués</t>
        </is>
      </c>
      <c r="H77" s="19" t="inlineStr">
        <is>
          <t>N/A</t>
        </is>
      </c>
      <c r="I77" s="19" t="inlineStr">
        <is>
          <t>Évaluations PCI/WASH</t>
        </is>
      </c>
      <c r="J77" s="1" t="n"/>
      <c r="K77" s="19" t="inlineStr">
        <is>
          <t>Mensuelle</t>
        </is>
      </c>
      <c r="L77" s="19" t="inlineStr">
        <is>
          <t>Type de site</t>
        </is>
      </c>
      <c r="M77" s="1" t="n"/>
      <c r="N77" s="19" t="inlineStr">
        <is>
          <t>600</t>
        </is>
      </c>
      <c r="O77" s="1" t="n"/>
      <c r="P77" s="19" t="n">
        <v>600</v>
      </c>
      <c r="Q77" s="1" t="n"/>
      <c r="R77" s="1" t="n"/>
      <c r="S77" s="1" t="n"/>
      <c r="T77" s="19" t="inlineStr">
        <is>
          <t>nouveau</t>
        </is>
      </c>
      <c r="U77" s="19" t="n">
        <v>2</v>
      </c>
      <c r="V77" s="19" t="inlineStr">
        <is>
          <t>Propre à la Tranche 5.</t>
        </is>
      </c>
    </row>
    <row r="78">
      <c r="A78" s="19" t="inlineStr">
        <is>
          <t>PCI-15</t>
        </is>
      </c>
      <c r="B78" s="19" t="inlineStr">
        <is>
          <t>PCI</t>
        </is>
      </c>
      <c r="C78" s="19" t="inlineStr">
        <is>
          <t>Décontaminations (ménages, FOSA, sites) appuyées ou coordonnées</t>
        </is>
      </c>
      <c r="D78" s="19" t="inlineStr">
        <is>
          <t># of decontamination events supported</t>
        </is>
      </c>
      <c r="E78" s="19" t="inlineStr">
        <is>
          <t>Nombre</t>
        </is>
      </c>
      <c r="F78" s="19" t="inlineStr">
        <is>
          <t>Tier 2</t>
        </is>
      </c>
      <c r="G78" s="19" t="inlineStr">
        <is>
          <t>Événements de décontamination</t>
        </is>
      </c>
      <c r="H78" s="19" t="inlineStr">
        <is>
          <t>N/A</t>
        </is>
      </c>
      <c r="I78" s="19" t="inlineStr">
        <is>
          <t>Rapports de décontamination</t>
        </is>
      </c>
      <c r="J78" s="1" t="n"/>
      <c r="K78" s="19" t="inlineStr">
        <is>
          <t>Hebdomadaire</t>
        </is>
      </c>
      <c r="L78" s="19" t="inlineStr">
        <is>
          <t>Type</t>
        </is>
      </c>
      <c r="M78" s="1" t="n"/>
      <c r="N78" s="19" t="inlineStr">
        <is>
          <t>800</t>
        </is>
      </c>
      <c r="O78" s="1" t="n"/>
      <c r="P78" s="19" t="n">
        <v>800</v>
      </c>
      <c r="Q78" s="1" t="n"/>
      <c r="R78" s="1" t="n"/>
      <c r="S78" s="1" t="n"/>
      <c r="T78" s="19" t="inlineStr">
        <is>
          <t>nouveau</t>
        </is>
      </c>
      <c r="U78" s="19" t="n">
        <v>2</v>
      </c>
      <c r="V78" s="19" t="inlineStr">
        <is>
          <t>Propre à la Tranche 5.</t>
        </is>
      </c>
    </row>
    <row r="79">
      <c r="A79" s="19" t="inlineStr">
        <is>
          <t>PCI-16</t>
        </is>
      </c>
      <c r="B79" s="19" t="inlineStr">
        <is>
          <t>PCI</t>
        </is>
      </c>
      <c r="C79" s="19" t="inlineStr">
        <is>
          <t>Visites de supervision ou contrôles ponctuels PCI</t>
        </is>
      </c>
      <c r="D79" s="19" t="inlineStr">
        <is>
          <t># of IPC supervision/spot-check visits</t>
        </is>
      </c>
      <c r="E79" s="19" t="inlineStr">
        <is>
          <t>Nombre</t>
        </is>
      </c>
      <c r="F79" s="19" t="inlineStr">
        <is>
          <t>Tier 2</t>
        </is>
      </c>
      <c r="G79" s="19" t="inlineStr">
        <is>
          <t>Visites réalisées</t>
        </is>
      </c>
      <c r="H79" s="19" t="inlineStr">
        <is>
          <t>N/A</t>
        </is>
      </c>
      <c r="I79" s="19" t="inlineStr">
        <is>
          <t>Rapports de supervision</t>
        </is>
      </c>
      <c r="J79" s="1" t="n"/>
      <c r="K79" s="19" t="inlineStr">
        <is>
          <t>Mensuelle</t>
        </is>
      </c>
      <c r="L79" s="19" t="inlineStr">
        <is>
          <t>ZS</t>
        </is>
      </c>
      <c r="M79" s="1" t="n"/>
      <c r="N79" s="19" t="inlineStr">
        <is>
          <t>1 000</t>
        </is>
      </c>
      <c r="O79" s="1" t="n"/>
      <c r="P79" s="19" t="n">
        <v>1000</v>
      </c>
      <c r="Q79" s="1" t="n"/>
      <c r="R79" s="1" t="n"/>
      <c r="S79" s="1" t="n"/>
      <c r="T79" s="19" t="inlineStr">
        <is>
          <t>nouveau</t>
        </is>
      </c>
      <c r="U79" s="19" t="n">
        <v>2</v>
      </c>
      <c r="V79" s="19" t="inlineStr">
        <is>
          <t>Propre à la Tranche 5.</t>
        </is>
      </c>
    </row>
    <row r="80">
      <c r="A80" s="19" t="inlineStr">
        <is>
          <t>PCI-17</t>
        </is>
      </c>
      <c r="B80" s="19" t="inlineStr">
        <is>
          <t>PCI</t>
        </is>
      </c>
      <c r="C80" s="19" t="inlineStr">
        <is>
          <t>Agents et acteurs communautaires formés ou recyclés en PCI</t>
        </is>
      </c>
      <c r="D80" s="19" t="inlineStr">
        <is>
          <t># of frontline workers and community actors trained in IPC</t>
        </is>
      </c>
      <c r="E80" s="19" t="inlineStr">
        <is>
          <t>Nombre</t>
        </is>
      </c>
      <c r="F80" s="19" t="inlineStr">
        <is>
          <t>Tier 2</t>
        </is>
      </c>
      <c r="G80" s="19" t="inlineStr">
        <is>
          <t>Participants formés</t>
        </is>
      </c>
      <c r="H80" s="19" t="inlineStr">
        <is>
          <t>N/A</t>
        </is>
      </c>
      <c r="I80" s="19" t="inlineStr">
        <is>
          <t>Rapports de formation</t>
        </is>
      </c>
      <c r="J80" s="1" t="n"/>
      <c r="K80" s="19" t="inlineStr">
        <is>
          <t>Mensuelle</t>
        </is>
      </c>
      <c r="L80" s="19" t="inlineStr">
        <is>
          <t>Sexe, type</t>
        </is>
      </c>
      <c r="M80" s="1" t="n"/>
      <c r="N80" s="19" t="inlineStr">
        <is>
          <t>8 000</t>
        </is>
      </c>
      <c r="O80" s="1" t="n"/>
      <c r="P80" s="19" t="n">
        <v>8000</v>
      </c>
      <c r="Q80" s="1" t="n"/>
      <c r="R80" s="1" t="n"/>
      <c r="S80" s="1" t="n"/>
      <c r="T80" s="19" t="inlineStr">
        <is>
          <t>nouveau</t>
        </is>
      </c>
      <c r="U80" s="19" t="n">
        <v>2</v>
      </c>
      <c r="V80" s="19" t="inlineStr">
        <is>
          <t>Propre à la Tranche 5.</t>
        </is>
      </c>
    </row>
    <row r="81">
      <c r="A81" s="19" t="inlineStr">
        <is>
          <t>LOG-01</t>
        </is>
      </c>
      <c r="B81" s="19" t="inlineStr">
        <is>
          <t>LOG</t>
        </is>
      </c>
      <c r="C81" s="19" t="inlineStr">
        <is>
          <t>Équipes de suivi des contacts appuyées</t>
        </is>
      </c>
      <c r="D81" s="19" t="inlineStr">
        <is>
          <t># of contact tracing teams supported</t>
        </is>
      </c>
      <c r="E81" s="19" t="inlineStr">
        <is>
          <t>Nombre</t>
        </is>
      </c>
      <c r="F81" s="19" t="inlineStr">
        <is>
          <t>Tier 2</t>
        </is>
      </c>
      <c r="G81" s="19" t="inlineStr">
        <is>
          <t>Équipes appuyées</t>
        </is>
      </c>
      <c r="H81" s="19" t="inlineStr">
        <is>
          <t>N/A</t>
        </is>
      </c>
      <c r="I81" s="19" t="inlineStr">
        <is>
          <t>Registres logistiques</t>
        </is>
      </c>
      <c r="J81" s="1" t="n"/>
      <c r="K81" s="19" t="inlineStr">
        <is>
          <t>Mensuelle</t>
        </is>
      </c>
      <c r="L81" s="19" t="inlineStr">
        <is>
          <t>ZS</t>
        </is>
      </c>
      <c r="M81" s="19" t="inlineStr">
        <is>
          <t>150</t>
        </is>
      </c>
      <c r="N81" s="1" t="n"/>
      <c r="O81" s="19" t="n">
        <v>150</v>
      </c>
      <c r="P81" s="1" t="n"/>
      <c r="Q81" s="1" t="n"/>
      <c r="R81" s="19" t="inlineStr">
        <is>
          <t>5.1</t>
        </is>
      </c>
      <c r="S81" s="1" t="n"/>
      <c r="T81" s="19" t="inlineStr">
        <is>
          <t>existant</t>
        </is>
      </c>
      <c r="U81" s="19" t="n">
        <v>2</v>
      </c>
      <c r="V81" s="1" t="n"/>
    </row>
    <row r="82">
      <c r="A82" s="19" t="inlineStr">
        <is>
          <t>LOG-02</t>
        </is>
      </c>
      <c r="B82" s="19" t="inlineStr">
        <is>
          <t>LOG</t>
        </is>
      </c>
      <c r="C82" s="19" t="inlineStr">
        <is>
          <t>EIR ou équipes d'investigation appuyées</t>
        </is>
      </c>
      <c r="D82" s="19" t="inlineStr">
        <is>
          <t># of RRTs/investigation teams supported</t>
        </is>
      </c>
      <c r="E82" s="19" t="inlineStr">
        <is>
          <t>Nombre</t>
        </is>
      </c>
      <c r="F82" s="19" t="inlineStr">
        <is>
          <t>Tier 2</t>
        </is>
      </c>
      <c r="G82" s="19" t="inlineStr">
        <is>
          <t>Équipes appuyées</t>
        </is>
      </c>
      <c r="H82" s="19" t="inlineStr">
        <is>
          <t>N/A</t>
        </is>
      </c>
      <c r="I82" s="19" t="inlineStr">
        <is>
          <t>Journal des EIR</t>
        </is>
      </c>
      <c r="J82" s="1" t="n"/>
      <c r="K82" s="19" t="inlineStr">
        <is>
          <t>Hebdomadaire</t>
        </is>
      </c>
      <c r="L82" s="19" t="inlineStr">
        <is>
          <t>ZS</t>
        </is>
      </c>
      <c r="M82" s="19" t="inlineStr">
        <is>
          <t>50</t>
        </is>
      </c>
      <c r="N82" s="1" t="n"/>
      <c r="O82" s="19" t="n">
        <v>50</v>
      </c>
      <c r="P82" s="1" t="n"/>
      <c r="Q82" s="1" t="n"/>
      <c r="R82" s="19" t="inlineStr">
        <is>
          <t>5.2</t>
        </is>
      </c>
      <c r="S82" s="19" t="inlineStr">
        <is>
          <t>23</t>
        </is>
      </c>
      <c r="T82" s="19" t="inlineStr">
        <is>
          <t>existant</t>
        </is>
      </c>
      <c r="U82" s="19" t="n">
        <v>2</v>
      </c>
      <c r="V82" s="1" t="n"/>
    </row>
    <row r="83">
      <c r="A83" s="19" t="inlineStr">
        <is>
          <t>LOG-03</t>
        </is>
      </c>
      <c r="B83" s="19" t="inlineStr">
        <is>
          <t>LOG</t>
        </is>
      </c>
      <c r="C83" s="19" t="inlineStr">
        <is>
          <t>Smartphones et terminaux de rapportage acquis ou appuyés</t>
        </is>
      </c>
      <c r="D83" s="19" t="inlineStr">
        <is>
          <t># of smartphones/reporting devices procured or supported</t>
        </is>
      </c>
      <c r="E83" s="19" t="inlineStr">
        <is>
          <t>Nombre</t>
        </is>
      </c>
      <c r="F83" s="19" t="inlineStr">
        <is>
          <t>Tier 2</t>
        </is>
      </c>
      <c r="G83" s="19" t="inlineStr">
        <is>
          <t>Terminaux</t>
        </is>
      </c>
      <c r="H83" s="19" t="inlineStr">
        <is>
          <t>N/A</t>
        </is>
      </c>
      <c r="I83" s="19" t="inlineStr">
        <is>
          <t>Registres d'achat</t>
        </is>
      </c>
      <c r="J83" s="1" t="n"/>
      <c r="K83" s="19" t="inlineStr">
        <is>
          <t>Mensuelle</t>
        </is>
      </c>
      <c r="L83" s="1" t="n"/>
      <c r="M83" s="19" t="inlineStr">
        <is>
          <t>500</t>
        </is>
      </c>
      <c r="N83" s="1" t="n"/>
      <c r="O83" s="19" t="n">
        <v>500</v>
      </c>
      <c r="P83" s="1" t="n"/>
      <c r="Q83" s="1" t="n"/>
      <c r="R83" s="19" t="inlineStr">
        <is>
          <t>5.3</t>
        </is>
      </c>
      <c r="S83" s="1" t="n"/>
      <c r="T83" s="19" t="inlineStr">
        <is>
          <t>existant</t>
        </is>
      </c>
      <c r="U83" s="19" t="n">
        <v>3</v>
      </c>
      <c r="V83" s="1" t="n"/>
    </row>
    <row r="84">
      <c r="A84" s="19" t="inlineStr">
        <is>
          <t>LOG-04</t>
        </is>
      </c>
      <c r="B84" s="19" t="inlineStr">
        <is>
          <t>LOG</t>
        </is>
      </c>
      <c r="C84" s="19" t="inlineStr">
        <is>
          <t>Véhicules, motos et bateaux appuyés</t>
        </is>
      </c>
      <c r="D84" s="19" t="inlineStr">
        <is>
          <t># of vehicles, motorcycles, and/or boats supported</t>
        </is>
      </c>
      <c r="E84" s="19" t="inlineStr">
        <is>
          <t>Nombre</t>
        </is>
      </c>
      <c r="F84" s="19" t="inlineStr">
        <is>
          <t>Tier 2</t>
        </is>
      </c>
      <c r="G84" s="19" t="inlineStr">
        <is>
          <t>Moyens de transport appuyés</t>
        </is>
      </c>
      <c r="H84" s="19" t="inlineStr">
        <is>
          <t>N/A</t>
        </is>
      </c>
      <c r="I84" s="19" t="inlineStr">
        <is>
          <t>Registres de transport</t>
        </is>
      </c>
      <c r="J84" s="1" t="n"/>
      <c r="K84" s="19" t="inlineStr">
        <is>
          <t>Mensuelle</t>
        </is>
      </c>
      <c r="L84" s="19" t="inlineStr">
        <is>
          <t>Type (véhicule, moto, bateau)</t>
        </is>
      </c>
      <c r="M84" s="19" t="inlineStr">
        <is>
          <t>125</t>
        </is>
      </c>
      <c r="N84" s="1" t="n"/>
      <c r="O84" s="19" t="n">
        <v>125</v>
      </c>
      <c r="P84" s="1" t="n"/>
      <c r="Q84" s="1" t="n"/>
      <c r="R84" s="19" t="inlineStr">
        <is>
          <t>5.4</t>
        </is>
      </c>
      <c r="S84" s="1" t="n"/>
      <c r="T84" s="19" t="inlineStr">
        <is>
          <t>à corriger</t>
        </is>
      </c>
      <c r="U84" s="19" t="n">
        <v>3</v>
      </c>
      <c r="V84" s="19" t="inlineStr">
        <is>
          <t>125 additionne 20 véhicules, 80 motos et 25 déploiements de bateau : désagréger.</t>
        </is>
      </c>
    </row>
    <row r="85">
      <c r="A85" s="19" t="inlineStr">
        <is>
          <t>LOG-05</t>
        </is>
      </c>
      <c r="B85" s="19" t="inlineStr">
        <is>
          <t>LOG</t>
        </is>
      </c>
      <c r="C85" s="19" t="inlineStr">
        <is>
          <t>Téléphones, SIM ou forfaits appuyés</t>
        </is>
      </c>
      <c r="D85" s="19" t="inlineStr">
        <is>
          <t># of phones/SIMs or airtime/data packages supported</t>
        </is>
      </c>
      <c r="E85" s="19" t="inlineStr">
        <is>
          <t>Nombre</t>
        </is>
      </c>
      <c r="F85" s="19" t="inlineStr">
        <is>
          <t>Tier 2</t>
        </is>
      </c>
      <c r="G85" s="19" t="inlineStr">
        <is>
          <t>Forfaits appuyés</t>
        </is>
      </c>
      <c r="H85" s="19" t="inlineStr">
        <is>
          <t>N/A</t>
        </is>
      </c>
      <c r="I85" s="19" t="inlineStr">
        <is>
          <t>Registres de distribution</t>
        </is>
      </c>
      <c r="J85" s="1" t="n"/>
      <c r="K85" s="19" t="inlineStr">
        <is>
          <t>Mensuelle</t>
        </is>
      </c>
      <c r="L85" s="1" t="n"/>
      <c r="M85" s="19" t="inlineStr">
        <is>
          <t>700</t>
        </is>
      </c>
      <c r="N85" s="1" t="n"/>
      <c r="O85" s="19" t="n">
        <v>700</v>
      </c>
      <c r="P85" s="1" t="n"/>
      <c r="Q85" s="1" t="n"/>
      <c r="R85" s="19" t="inlineStr">
        <is>
          <t>5.5</t>
        </is>
      </c>
      <c r="S85" s="1" t="n"/>
      <c r="T85" s="19" t="inlineStr">
        <is>
          <t>existant</t>
        </is>
      </c>
      <c r="U85" s="19" t="n">
        <v>3</v>
      </c>
      <c r="V85" s="1" t="n"/>
    </row>
    <row r="86">
      <c r="A86" s="19" t="inlineStr">
        <is>
          <t>LOG-06</t>
        </is>
      </c>
      <c r="B86" s="19" t="inlineStr">
        <is>
          <t>LOG</t>
        </is>
      </c>
      <c r="C86" s="19" t="inlineStr">
        <is>
          <t>Agents de terrain ayant reçu des EPI</t>
        </is>
      </c>
      <c r="D86" s="19" t="inlineStr">
        <is>
          <t># of field staff/contact tracers/community teams receiving PPE</t>
        </is>
      </c>
      <c r="E86" s="19" t="inlineStr">
        <is>
          <t>Nombre</t>
        </is>
      </c>
      <c r="F86" s="19" t="inlineStr">
        <is>
          <t>Tier 2</t>
        </is>
      </c>
      <c r="G86" s="19" t="inlineStr">
        <is>
          <t>Agents équipés</t>
        </is>
      </c>
      <c r="H86" s="19" t="inlineStr">
        <is>
          <t>N/A</t>
        </is>
      </c>
      <c r="I86" s="19" t="inlineStr">
        <is>
          <t>Registres de distribution</t>
        </is>
      </c>
      <c r="J86" s="1" t="n"/>
      <c r="K86" s="19" t="inlineStr">
        <is>
          <t>Mensuelle</t>
        </is>
      </c>
      <c r="L86" s="19" t="inlineStr">
        <is>
          <t>IP</t>
        </is>
      </c>
      <c r="M86" s="19" t="inlineStr">
        <is>
          <t>1 500</t>
        </is>
      </c>
      <c r="N86" s="1" t="n"/>
      <c r="O86" s="19" t="n">
        <v>1500</v>
      </c>
      <c r="P86" s="1" t="n"/>
      <c r="Q86" s="1" t="n"/>
      <c r="R86" s="19" t="inlineStr">
        <is>
          <t>5.6</t>
        </is>
      </c>
      <c r="S86" s="1" t="n"/>
      <c r="T86" s="19" t="inlineStr">
        <is>
          <t>existant</t>
        </is>
      </c>
      <c r="U86" s="19" t="n">
        <v>2</v>
      </c>
      <c r="V86" s="1" t="n"/>
    </row>
    <row r="87">
      <c r="A87" s="19" t="inlineStr">
        <is>
          <t>LOG-07</t>
        </is>
      </c>
      <c r="B87" s="19" t="inlineStr">
        <is>
          <t>LOG</t>
        </is>
      </c>
      <c r="C87" s="19" t="inlineStr">
        <is>
          <t>Déploiements dans les zones difficiles d'accès ou frontalières</t>
        </is>
      </c>
      <c r="D87" s="19" t="inlineStr">
        <is>
          <t># of deployments to hard-to-reach/informal border areas supported</t>
        </is>
      </c>
      <c r="E87" s="19" t="inlineStr">
        <is>
          <t>Nombre</t>
        </is>
      </c>
      <c r="F87" s="19" t="inlineStr">
        <is>
          <t>Tier 2</t>
        </is>
      </c>
      <c r="G87" s="19" t="inlineStr">
        <is>
          <t>Déploiements</t>
        </is>
      </c>
      <c r="H87" s="19" t="inlineStr">
        <is>
          <t>N/A</t>
        </is>
      </c>
      <c r="I87" s="19" t="inlineStr">
        <is>
          <t>Journal des déploiements</t>
        </is>
      </c>
      <c r="J87" s="1" t="n"/>
      <c r="K87" s="19" t="inlineStr">
        <is>
          <t>Mensuelle</t>
        </is>
      </c>
      <c r="L87" s="19" t="inlineStr">
        <is>
          <t>ZS</t>
        </is>
      </c>
      <c r="M87" s="19" t="inlineStr">
        <is>
          <t>100</t>
        </is>
      </c>
      <c r="N87" s="19" t="inlineStr">
        <is>
          <t>100 déploiements de renfort</t>
        </is>
      </c>
      <c r="O87" s="19" t="n">
        <v>100</v>
      </c>
      <c r="P87" s="1" t="n"/>
      <c r="Q87" s="1" t="n"/>
      <c r="R87" s="19" t="inlineStr">
        <is>
          <t>5.7</t>
        </is>
      </c>
      <c r="S87" s="1" t="n"/>
      <c r="T87" s="19" t="inlineStr">
        <is>
          <t>existant</t>
        </is>
      </c>
      <c r="U87" s="19" t="n">
        <v>3</v>
      </c>
      <c r="V87" s="1" t="n"/>
    </row>
    <row r="88">
      <c r="A88" s="19" t="inlineStr">
        <is>
          <t>LOG-08</t>
        </is>
      </c>
      <c r="B88" s="19" t="inlineStr">
        <is>
          <t>LOG</t>
        </is>
      </c>
      <c r="C88" s="19" t="inlineStr">
        <is>
          <t>Agents de renfort et superviseurs recrutés</t>
        </is>
      </c>
      <c r="D88" s="19" t="inlineStr">
        <is>
          <t># of surge staff and supervisors recruited or supported</t>
        </is>
      </c>
      <c r="E88" s="19" t="inlineStr">
        <is>
          <t>Nombre</t>
        </is>
      </c>
      <c r="F88" s="19" t="inlineStr">
        <is>
          <t>Tier 2</t>
        </is>
      </c>
      <c r="G88" s="19" t="inlineStr">
        <is>
          <t>Agents recrutés</t>
        </is>
      </c>
      <c r="H88" s="19" t="inlineStr">
        <is>
          <t>N/A</t>
        </is>
      </c>
      <c r="I88" s="19" t="inlineStr">
        <is>
          <t>Registres RH</t>
        </is>
      </c>
      <c r="J88" s="1" t="n"/>
      <c r="K88" s="19" t="inlineStr">
        <is>
          <t>Mensuelle</t>
        </is>
      </c>
      <c r="L88" s="19" t="inlineStr">
        <is>
          <t>Fonction</t>
        </is>
      </c>
      <c r="M88" s="19" t="inlineStr">
        <is>
          <t>75</t>
        </is>
      </c>
      <c r="N88" s="1" t="n"/>
      <c r="O88" s="19" t="n">
        <v>75</v>
      </c>
      <c r="P88" s="1" t="n"/>
      <c r="Q88" s="1" t="n"/>
      <c r="R88" s="19" t="inlineStr">
        <is>
          <t>5.8</t>
        </is>
      </c>
      <c r="S88" s="1" t="n"/>
      <c r="T88" s="19" t="inlineStr">
        <is>
          <t>existant</t>
        </is>
      </c>
      <c r="U88" s="19" t="n">
        <v>3</v>
      </c>
      <c r="V88" s="1" t="n"/>
    </row>
    <row r="89">
      <c r="A89" s="19" t="inlineStr">
        <is>
          <t>LOG-09</t>
        </is>
      </c>
      <c r="B89" s="19" t="inlineStr">
        <is>
          <t>LOG</t>
        </is>
      </c>
      <c r="C89" s="19" t="inlineStr">
        <is>
          <t>Traceurs communautaires sur la liste de réserve</t>
        </is>
      </c>
      <c r="D89" s="19" t="inlineStr">
        <is>
          <t># of flexible community contact tracers maintained on roster</t>
        </is>
      </c>
      <c r="E89" s="19" t="inlineStr">
        <is>
          <t>Nombre</t>
        </is>
      </c>
      <c r="F89" s="19" t="inlineStr">
        <is>
          <t>Tier 2</t>
        </is>
      </c>
      <c r="G89" s="19" t="inlineStr">
        <is>
          <t>Traceurs sur la liste</t>
        </is>
      </c>
      <c r="H89" s="19" t="inlineStr">
        <is>
          <t>N/A</t>
        </is>
      </c>
      <c r="I89" s="19" t="inlineStr">
        <is>
          <t>Liste de réserve</t>
        </is>
      </c>
      <c r="J89" s="1" t="n"/>
      <c r="K89" s="19" t="inlineStr">
        <is>
          <t>Mensuelle</t>
        </is>
      </c>
      <c r="L89" s="19" t="inlineStr">
        <is>
          <t>ZS</t>
        </is>
      </c>
      <c r="M89" s="19" t="inlineStr">
        <is>
          <t>1 000</t>
        </is>
      </c>
      <c r="N89" s="19" t="inlineStr">
        <is>
          <t>200 listes d'activation</t>
        </is>
      </c>
      <c r="O89" s="19" t="n">
        <v>1000</v>
      </c>
      <c r="P89" s="1" t="n"/>
      <c r="Q89" s="1" t="n"/>
      <c r="R89" s="19" t="inlineStr">
        <is>
          <t>5.9</t>
        </is>
      </c>
      <c r="S89" s="1" t="n"/>
      <c r="T89" s="19" t="inlineStr">
        <is>
          <t>existant</t>
        </is>
      </c>
      <c r="U89" s="19" t="n">
        <v>3</v>
      </c>
      <c r="V89" s="1" t="n"/>
    </row>
    <row r="90">
      <c r="A90" s="19" t="inlineStr">
        <is>
          <t>LOG-10</t>
        </is>
      </c>
      <c r="B90" s="19" t="inlineStr">
        <is>
          <t>LOG</t>
        </is>
      </c>
      <c r="C90" s="19" t="inlineStr">
        <is>
          <t>Visites de supervision de terrain (contacts manqués, refus)</t>
        </is>
      </c>
      <c r="D90" s="19" t="inlineStr">
        <is>
          <t># of supervisory field visits conducted</t>
        </is>
      </c>
      <c r="E90" s="19" t="inlineStr">
        <is>
          <t>Nombre</t>
        </is>
      </c>
      <c r="F90" s="19" t="inlineStr">
        <is>
          <t>Tier 2</t>
        </is>
      </c>
      <c r="G90" s="19" t="inlineStr">
        <is>
          <t>Visites réalisées</t>
        </is>
      </c>
      <c r="H90" s="19" t="inlineStr">
        <is>
          <t>N/A</t>
        </is>
      </c>
      <c r="I90" s="19" t="inlineStr">
        <is>
          <t>Rapports de supervision</t>
        </is>
      </c>
      <c r="J90" s="1" t="n"/>
      <c r="K90" s="19" t="inlineStr">
        <is>
          <t>Mensuelle</t>
        </is>
      </c>
      <c r="L90" s="19" t="inlineStr">
        <is>
          <t>ZS</t>
        </is>
      </c>
      <c r="M90" s="19" t="inlineStr">
        <is>
          <t>48</t>
        </is>
      </c>
      <c r="N90" s="1" t="n"/>
      <c r="O90" s="19" t="n">
        <v>48</v>
      </c>
      <c r="P90" s="1" t="n"/>
      <c r="Q90" s="1" t="n"/>
      <c r="R90" s="19" t="inlineStr">
        <is>
          <t>5.10</t>
        </is>
      </c>
      <c r="S90" s="1" t="n"/>
      <c r="T90" s="19" t="inlineStr">
        <is>
          <t>à corriger</t>
        </is>
      </c>
      <c r="U90" s="19" t="n">
        <v>2</v>
      </c>
      <c r="V90" s="19" t="inlineStr">
        <is>
          <t>Même cible (48) que MEL-01 : distinguer supervision opérationnelle et qualité des données.</t>
        </is>
      </c>
    </row>
    <row r="91">
      <c r="A91" s="19" t="inlineStr">
        <is>
          <t>LOG-11</t>
        </is>
      </c>
      <c r="B91" s="19" t="inlineStr">
        <is>
          <t>LOG</t>
        </is>
      </c>
      <c r="C91" s="19" t="inlineStr">
        <is>
          <t>Revues des gaps logistiques</t>
        </is>
      </c>
      <c r="D91" s="19" t="inlineStr">
        <is>
          <t># of logistics gap reviews conducted</t>
        </is>
      </c>
      <c r="E91" s="19" t="inlineStr">
        <is>
          <t>Nombre</t>
        </is>
      </c>
      <c r="F91" s="19" t="inlineStr">
        <is>
          <t>Tier 2</t>
        </is>
      </c>
      <c r="G91" s="19" t="inlineStr">
        <is>
          <t>Revues tenues</t>
        </is>
      </c>
      <c r="H91" s="19" t="inlineStr">
        <is>
          <t>N/A</t>
        </is>
      </c>
      <c r="I91" s="19" t="inlineStr">
        <is>
          <t>Rapports logistiques</t>
        </is>
      </c>
      <c r="J91" s="1" t="n"/>
      <c r="K91" s="19" t="inlineStr">
        <is>
          <t>Mensuelle</t>
        </is>
      </c>
      <c r="L91" s="1" t="n"/>
      <c r="M91" s="19" t="inlineStr">
        <is>
          <t>35</t>
        </is>
      </c>
      <c r="N91" s="1" t="n"/>
      <c r="O91" s="19" t="n">
        <v>35</v>
      </c>
      <c r="P91" s="1" t="n"/>
      <c r="Q91" s="1" t="n"/>
      <c r="R91" s="19" t="inlineStr">
        <is>
          <t>5.11</t>
        </is>
      </c>
      <c r="S91" s="1" t="n"/>
      <c r="T91" s="19" t="inlineStr">
        <is>
          <t>existant</t>
        </is>
      </c>
      <c r="U91" s="19" t="n">
        <v>3</v>
      </c>
      <c r="V91" s="1" t="n"/>
    </row>
    <row r="92">
      <c r="A92" s="19" t="inlineStr">
        <is>
          <t>LOG-12</t>
        </is>
      </c>
      <c r="B92" s="19" t="inlineStr">
        <is>
          <t>LOG</t>
        </is>
      </c>
      <c r="C92" s="19" t="inlineStr">
        <is>
          <t>Sites de prépositionnement établis</t>
        </is>
      </c>
      <c r="D92" s="19" t="inlineStr">
        <is>
          <t># of pre-positioned supply locations established</t>
        </is>
      </c>
      <c r="E92" s="19" t="inlineStr">
        <is>
          <t>Nombre</t>
        </is>
      </c>
      <c r="F92" s="19" t="inlineStr">
        <is>
          <t>Tier 2</t>
        </is>
      </c>
      <c r="G92" s="19" t="inlineStr">
        <is>
          <t>Sites établis</t>
        </is>
      </c>
      <c r="H92" s="19" t="inlineStr">
        <is>
          <t>N/A</t>
        </is>
      </c>
      <c r="I92" s="19" t="inlineStr">
        <is>
          <t>Rapports de stock</t>
        </is>
      </c>
      <c r="J92" s="1" t="n"/>
      <c r="K92" s="19" t="inlineStr">
        <is>
          <t>Mensuelle</t>
        </is>
      </c>
      <c r="L92" s="1" t="n"/>
      <c r="M92" s="19" t="inlineStr">
        <is>
          <t>15</t>
        </is>
      </c>
      <c r="N92" s="1" t="n"/>
      <c r="O92" s="19" t="n">
        <v>15</v>
      </c>
      <c r="P92" s="1" t="n"/>
      <c r="Q92" s="1" t="n"/>
      <c r="R92" s="19" t="inlineStr">
        <is>
          <t>5.12</t>
        </is>
      </c>
      <c r="S92" s="1" t="n"/>
      <c r="T92" s="19" t="inlineStr">
        <is>
          <t>existant</t>
        </is>
      </c>
      <c r="U92" s="19" t="n">
        <v>3</v>
      </c>
      <c r="V92" s="1" t="n"/>
    </row>
    <row r="93">
      <c r="A93" s="19" t="inlineStr">
        <is>
          <t>LOG-13</t>
        </is>
      </c>
      <c r="B93" s="19" t="inlineStr">
        <is>
          <t>LOG</t>
        </is>
      </c>
      <c r="C93" s="19" t="inlineStr">
        <is>
          <t>Briefings sécurité et autorisations de mouvement</t>
        </is>
      </c>
      <c r="D93" s="19" t="inlineStr">
        <is>
          <t># of security briefings and movement clearances conducted</t>
        </is>
      </c>
      <c r="E93" s="19" t="inlineStr">
        <is>
          <t>Nombre</t>
        </is>
      </c>
      <c r="F93" s="19" t="inlineStr">
        <is>
          <t>Tier 2</t>
        </is>
      </c>
      <c r="G93" s="19" t="inlineStr">
        <is>
          <t>Briefings et autorisations</t>
        </is>
      </c>
      <c r="H93" s="19" t="inlineStr">
        <is>
          <t>N/A</t>
        </is>
      </c>
      <c r="I93" s="19" t="inlineStr">
        <is>
          <t>Rapports sécurité</t>
        </is>
      </c>
      <c r="J93" s="1" t="n"/>
      <c r="K93" s="19" t="inlineStr">
        <is>
          <t>Mensuelle</t>
        </is>
      </c>
      <c r="L93" s="1" t="n"/>
      <c r="M93" s="19" t="inlineStr">
        <is>
          <t>100</t>
        </is>
      </c>
      <c r="N93" s="1" t="n"/>
      <c r="O93" s="19" t="n">
        <v>100</v>
      </c>
      <c r="P93" s="1" t="n"/>
      <c r="Q93" s="1" t="n"/>
      <c r="R93" s="19" t="inlineStr">
        <is>
          <t>5.13</t>
        </is>
      </c>
      <c r="S93" s="1" t="n"/>
      <c r="T93" s="19" t="inlineStr">
        <is>
          <t>existant</t>
        </is>
      </c>
      <c r="U93" s="19" t="n">
        <v>3</v>
      </c>
      <c r="V93" s="1" t="n"/>
    </row>
    <row r="94">
      <c r="A94" s="19" t="inlineStr">
        <is>
          <t>LOG-14</t>
        </is>
      </c>
      <c r="B94" s="19" t="inlineStr">
        <is>
          <t>LOG</t>
        </is>
      </c>
      <c r="C94" s="19" t="inlineStr">
        <is>
          <t>Déploiements couverts par une procédure de sécurité (doublon)</t>
        </is>
      </c>
      <c r="D94" s="19" t="inlineStr">
        <is>
          <t>% of field deployments covered by security clearance procedures</t>
        </is>
      </c>
      <c r="E94" s="19" t="inlineStr">
        <is>
          <t>Pourcentage</t>
        </is>
      </c>
      <c r="F94" s="19" t="inlineStr">
        <is>
          <t>Tier 2</t>
        </is>
      </c>
      <c r="G94" s="19" t="inlineStr">
        <is>
          <t>Déploiements couverts</t>
        </is>
      </c>
      <c r="H94" s="19" t="inlineStr">
        <is>
          <t>Déploiements</t>
        </is>
      </c>
      <c r="I94" s="19" t="inlineStr">
        <is>
          <t>Journal sécurité</t>
        </is>
      </c>
      <c r="J94" s="1" t="n"/>
      <c r="K94" s="19" t="inlineStr">
        <is>
          <t>Mensuelle</t>
        </is>
      </c>
      <c r="L94" s="1" t="n"/>
      <c r="M94" s="19" t="inlineStr">
        <is>
          <t>100 %</t>
        </is>
      </c>
      <c r="N94" s="1" t="n"/>
      <c r="O94" s="19" t="n">
        <v>100</v>
      </c>
      <c r="P94" s="1" t="n"/>
      <c r="Q94" s="1" t="n"/>
      <c r="R94" s="19" t="inlineStr">
        <is>
          <t>5.14</t>
        </is>
      </c>
      <c r="S94" s="1" t="n"/>
      <c r="T94" s="19" t="inlineStr">
        <is>
          <t>à corriger</t>
        </is>
      </c>
      <c r="U94" s="19" t="n">
        <v>3</v>
      </c>
      <c r="V94" s="19" t="inlineStr">
        <is>
          <t>Doublon de MEL-14 : à supprimer.</t>
        </is>
      </c>
    </row>
    <row r="95">
      <c r="A95" s="19" t="inlineStr">
        <is>
          <t>LOG-15</t>
        </is>
      </c>
      <c r="B95" s="19" t="inlineStr">
        <is>
          <t>LOG</t>
        </is>
      </c>
      <c r="C95" s="19" t="inlineStr">
        <is>
          <t>Jours-équipe perdus pour insécurité ou accès</t>
        </is>
      </c>
      <c r="D95" s="19" t="inlineStr">
        <is>
          <t>% of team-days lost to insecurity or access constraints</t>
        </is>
      </c>
      <c r="E95" s="19" t="inlineStr">
        <is>
          <t>Pourcentage</t>
        </is>
      </c>
      <c r="F95" s="19" t="inlineStr">
        <is>
          <t>Contexte</t>
        </is>
      </c>
      <c r="G95" s="19" t="inlineStr">
        <is>
          <t>Jours-équipe perdus</t>
        </is>
      </c>
      <c r="H95" s="19" t="inlineStr">
        <is>
          <t>Jours-équipe planifiés</t>
        </is>
      </c>
      <c r="I95" s="19" t="inlineStr">
        <is>
          <t>Journal des déploiements</t>
        </is>
      </c>
      <c r="J95" s="1" t="n"/>
      <c r="K95" s="19" t="inlineStr">
        <is>
          <t>Hebdomadaire</t>
        </is>
      </c>
      <c r="L95" s="19" t="inlineStr">
        <is>
          <t>ZS</t>
        </is>
      </c>
      <c r="M95" s="1" t="n"/>
      <c r="N95" s="1" t="n"/>
      <c r="O95" s="1" t="n"/>
      <c r="P95" s="1" t="n"/>
      <c r="Q95" s="1" t="n"/>
      <c r="R95" s="1" t="n"/>
      <c r="S95" s="1" t="n"/>
      <c r="T95" s="19" t="inlineStr">
        <is>
          <t>nouveau</t>
        </is>
      </c>
      <c r="U95" s="19" t="n">
        <v>2</v>
      </c>
      <c r="V95" s="19" t="inlineStr">
        <is>
          <t>Les SitReps et réunions signalent attaques et arrêts d'activités (Mambasa, Biakato).</t>
        </is>
      </c>
    </row>
    <row r="96">
      <c r="A96" s="19" t="inlineStr">
        <is>
          <t>LOG-16</t>
        </is>
      </c>
      <c r="B96" s="19" t="inlineStr">
        <is>
          <t>LOG</t>
        </is>
      </c>
      <c r="C96" s="19" t="inlineStr">
        <is>
          <t>Incidents de sécurité affectant les équipes CGPP</t>
        </is>
      </c>
      <c r="D96" s="19" t="inlineStr">
        <is>
          <t># of security incidents affecting CGPP teams</t>
        </is>
      </c>
      <c r="E96" s="19" t="inlineStr">
        <is>
          <t>Nombre</t>
        </is>
      </c>
      <c r="F96" s="19" t="inlineStr">
        <is>
          <t>Contexte</t>
        </is>
      </c>
      <c r="G96" s="19" t="inlineStr">
        <is>
          <t>Incidents</t>
        </is>
      </c>
      <c r="H96" s="19" t="inlineStr">
        <is>
          <t>N/A</t>
        </is>
      </c>
      <c r="I96" s="19" t="inlineStr">
        <is>
          <t>Rapports d'incident</t>
        </is>
      </c>
      <c r="J96" s="1" t="n"/>
      <c r="K96" s="19" t="inlineStr">
        <is>
          <t>Hebdomadaire</t>
        </is>
      </c>
      <c r="L96" s="19" t="inlineStr">
        <is>
          <t>ZS, type</t>
        </is>
      </c>
      <c r="M96" s="1" t="n"/>
      <c r="N96" s="1" t="n"/>
      <c r="O96" s="1" t="n"/>
      <c r="P96" s="1" t="n"/>
      <c r="Q96" s="19" t="inlineStr">
        <is>
          <t>Tout incident : alerte</t>
        </is>
      </c>
      <c r="R96" s="1" t="n"/>
      <c r="S96" s="1" t="n"/>
      <c r="T96" s="19" t="inlineStr">
        <is>
          <t>nouveau</t>
        </is>
      </c>
      <c r="U96" s="19" t="n">
        <v>1</v>
      </c>
      <c r="V96" s="1" t="n"/>
    </row>
    <row r="97">
      <c r="A97" s="19" t="inlineStr">
        <is>
          <t>LOG-17</t>
        </is>
      </c>
      <c r="B97" s="19" t="inlineStr">
        <is>
          <t>LOG</t>
        </is>
      </c>
      <c r="C97" s="19" t="inlineStr">
        <is>
          <t>Jours de rupture de stock d'EPI ou d'intrants</t>
        </is>
      </c>
      <c r="D97" s="19" t="inlineStr">
        <is>
          <t>Stock-out days for PPE/IPC supplies</t>
        </is>
      </c>
      <c r="E97" s="19" t="inlineStr">
        <is>
          <t>Nombre</t>
        </is>
      </c>
      <c r="F97" s="19" t="inlineStr">
        <is>
          <t>Contexte</t>
        </is>
      </c>
      <c r="G97" s="19" t="inlineStr">
        <is>
          <t>Jours de rupture par site</t>
        </is>
      </c>
      <c r="H97" s="19" t="inlineStr">
        <is>
          <t>N/A</t>
        </is>
      </c>
      <c r="I97" s="19" t="inlineStr">
        <is>
          <t>Fiches de stock</t>
        </is>
      </c>
      <c r="J97" s="1" t="n"/>
      <c r="K97" s="19" t="inlineStr">
        <is>
          <t>Mensuelle</t>
        </is>
      </c>
      <c r="L97" s="19" t="inlineStr">
        <is>
          <t>Site, article</t>
        </is>
      </c>
      <c r="M97" s="1" t="n"/>
      <c r="N97" s="1" t="n"/>
      <c r="O97" s="1" t="n"/>
      <c r="P97" s="1" t="n"/>
      <c r="Q97" s="1" t="n"/>
      <c r="R97" s="1" t="n"/>
      <c r="S97" s="1" t="n"/>
      <c r="T97" s="19" t="inlineStr">
        <is>
          <t>nouveau</t>
        </is>
      </c>
      <c r="U97" s="19" t="n">
        <v>3</v>
      </c>
      <c r="V97" s="1" t="n"/>
    </row>
    <row r="98">
      <c r="A98" s="19" t="inlineStr">
        <is>
          <t>MEL-01</t>
        </is>
      </c>
      <c r="B98" s="19" t="inlineStr">
        <is>
          <t>MEL</t>
        </is>
      </c>
      <c r="C98" s="19" t="inlineStr">
        <is>
          <t>Visites de supervision et de qualité des données</t>
        </is>
      </c>
      <c r="D98" s="19" t="inlineStr">
        <is>
          <t># of supervision/data quality visits conducted</t>
        </is>
      </c>
      <c r="E98" s="19" t="inlineStr">
        <is>
          <t>Nombre</t>
        </is>
      </c>
      <c r="F98" s="19" t="inlineStr">
        <is>
          <t>Tier 2</t>
        </is>
      </c>
      <c r="G98" s="19" t="inlineStr">
        <is>
          <t>Visites DQA réalisées</t>
        </is>
      </c>
      <c r="H98" s="19" t="inlineStr">
        <is>
          <t>N/A</t>
        </is>
      </c>
      <c r="I98" s="19" t="inlineStr">
        <is>
          <t>Rapports de supervision ; grilles DQA</t>
        </is>
      </c>
      <c r="J98" s="1" t="n"/>
      <c r="K98" s="19" t="inlineStr">
        <is>
          <t>Mensuelle</t>
        </is>
      </c>
      <c r="L98" s="19" t="inlineStr">
        <is>
          <t>Province</t>
        </is>
      </c>
      <c r="M98" s="19" t="inlineStr">
        <is>
          <t>48</t>
        </is>
      </c>
      <c r="N98" s="1" t="n"/>
      <c r="O98" s="19" t="n">
        <v>48</v>
      </c>
      <c r="P98" s="1" t="n"/>
      <c r="Q98" s="1" t="n"/>
      <c r="R98" s="19" t="inlineStr">
        <is>
          <t>6.1</t>
        </is>
      </c>
      <c r="S98" s="19" t="inlineStr">
        <is>
          <t>24</t>
        </is>
      </c>
      <c r="T98" s="19" t="inlineStr">
        <is>
          <t>existant</t>
        </is>
      </c>
      <c r="U98" s="19" t="n">
        <v>1</v>
      </c>
      <c r="V98" s="1" t="n"/>
    </row>
    <row r="99">
      <c r="A99" s="19" t="inlineStr">
        <is>
          <t>MEL-02</t>
        </is>
      </c>
      <c r="B99" s="19" t="inlineStr">
        <is>
          <t>MEL</t>
        </is>
      </c>
      <c r="C99" s="19" t="inlineStr">
        <is>
          <t>Alertes de suspicion rapportées dans la SIMR (IDSR)</t>
        </is>
      </c>
      <c r="D99" s="19" t="inlineStr">
        <is>
          <t>% of suspected EVD alerts reported through IDSR</t>
        </is>
      </c>
      <c r="E99" s="19" t="inlineStr">
        <is>
          <t>Pourcentage</t>
        </is>
      </c>
      <c r="F99" s="19" t="inlineStr">
        <is>
          <t>Tier 1</t>
        </is>
      </c>
      <c r="G99" s="19" t="inlineStr">
        <is>
          <t>Alertes CGPP retrouvées dans la SIMR</t>
        </is>
      </c>
      <c r="H99" s="19" t="inlineStr">
        <is>
          <t>Alertes CGPP détectées</t>
        </is>
      </c>
      <c r="I99" s="19" t="inlineStr">
        <is>
          <t>SIMR/DHIS2 ; Fiche SBC journalière (ODK)</t>
        </is>
      </c>
      <c r="J99" s="1" t="n"/>
      <c r="K99" s="19" t="inlineStr">
        <is>
          <t>Mensuelle</t>
        </is>
      </c>
      <c r="L99" s="19" t="inlineStr">
        <is>
          <t>ZS</t>
        </is>
      </c>
      <c r="M99" s="19" t="inlineStr">
        <is>
          <t>100 %</t>
        </is>
      </c>
      <c r="N99" s="1" t="n"/>
      <c r="O99" s="19" t="n">
        <v>100</v>
      </c>
      <c r="P99" s="1" t="n"/>
      <c r="Q99" s="1" t="n"/>
      <c r="R99" s="19" t="inlineStr">
        <is>
          <t>6.2</t>
        </is>
      </c>
      <c r="S99" s="19" t="inlineStr">
        <is>
          <t>25</t>
        </is>
      </c>
      <c r="T99" s="19" t="inlineStr">
        <is>
          <t>à corriger</t>
        </is>
      </c>
      <c r="U99" s="19" t="n">
        <v>2</v>
      </c>
      <c r="V99" s="19" t="inlineStr">
        <is>
          <t>Dans le cadre global, cette ligne porte la définition des visites de supervision : définition à rétablir.</t>
        </is>
      </c>
    </row>
    <row r="100">
      <c r="A100" s="19" t="inlineStr">
        <is>
          <t>MEL-03</t>
        </is>
      </c>
      <c r="B100" s="19" t="inlineStr">
        <is>
          <t>MEL</t>
        </is>
      </c>
      <c r="C100" s="19" t="inlineStr">
        <is>
          <t>Exercices de simulation, exercices de préparation et revues après action</t>
        </is>
      </c>
      <c r="D100" s="19" t="inlineStr">
        <is>
          <t># of simulation exercises/readiness drills/AARs conducted</t>
        </is>
      </c>
      <c r="E100" s="19" t="inlineStr">
        <is>
          <t>Nombre</t>
        </is>
      </c>
      <c r="F100" s="19" t="inlineStr">
        <is>
          <t>Tier 2</t>
        </is>
      </c>
      <c r="G100" s="19" t="inlineStr">
        <is>
          <t>Exercices et revues réalisés</t>
        </is>
      </c>
      <c r="H100" s="19" t="inlineStr">
        <is>
          <t>N/A</t>
        </is>
      </c>
      <c r="I100" s="19" t="inlineStr">
        <is>
          <t>Rapports SimEx et AAR</t>
        </is>
      </c>
      <c r="J100" s="1" t="n"/>
      <c r="K100" s="19" t="inlineStr">
        <is>
          <t>Mensuelle ou trimestrielle</t>
        </is>
      </c>
      <c r="L100" s="19" t="inlineStr">
        <is>
          <t>Type</t>
        </is>
      </c>
      <c r="M100" s="19" t="inlineStr">
        <is>
          <t>3</t>
        </is>
      </c>
      <c r="N100" s="19" t="inlineStr">
        <is>
          <t>96 simulations + 48 exercices + 40 revues</t>
        </is>
      </c>
      <c r="O100" s="19" t="n">
        <v>3</v>
      </c>
      <c r="P100" s="1" t="n"/>
      <c r="Q100" s="1" t="n"/>
      <c r="R100" s="19" t="inlineStr">
        <is>
          <t>6.3</t>
        </is>
      </c>
      <c r="S100" s="19" t="inlineStr">
        <is>
          <t>22</t>
        </is>
      </c>
      <c r="T100" s="19" t="inlineStr">
        <is>
          <t>existant</t>
        </is>
      </c>
      <c r="U100" s="19" t="n">
        <v>3</v>
      </c>
      <c r="V100" s="1" t="n"/>
    </row>
    <row r="101">
      <c r="A101" s="19" t="inlineStr">
        <is>
          <t>MEL-04</t>
        </is>
      </c>
      <c r="B101" s="19" t="inlineStr">
        <is>
          <t>MEL</t>
        </is>
      </c>
      <c r="C101" s="19" t="inlineStr">
        <is>
          <t>Mises à jour hebdomadaires transmises au bailleur</t>
        </is>
      </c>
      <c r="D101" s="19" t="inlineStr">
        <is>
          <t># of weekly donor updates submitted</t>
        </is>
      </c>
      <c r="E101" s="19" t="inlineStr">
        <is>
          <t>Nombre</t>
        </is>
      </c>
      <c r="F101" s="19" t="inlineStr">
        <is>
          <t>Tier 2</t>
        </is>
      </c>
      <c r="G101" s="19" t="inlineStr">
        <is>
          <t>Mises à jour transmises</t>
        </is>
      </c>
      <c r="H101" s="19" t="inlineStr">
        <is>
          <t>N/A</t>
        </is>
      </c>
      <c r="I101" s="19" t="inlineStr">
        <is>
          <t>Rapports au bailleur</t>
        </is>
      </c>
      <c r="J101" s="1" t="n"/>
      <c r="K101" s="19" t="inlineStr">
        <is>
          <t>Hebdomadaire</t>
        </is>
      </c>
      <c r="L101" s="1" t="n"/>
      <c r="M101" s="19" t="inlineStr">
        <is>
          <t>16</t>
        </is>
      </c>
      <c r="N101" s="1" t="n"/>
      <c r="O101" s="19" t="n">
        <v>16</v>
      </c>
      <c r="P101" s="1" t="n"/>
      <c r="Q101" s="1" t="n"/>
      <c r="R101" s="19" t="inlineStr">
        <is>
          <t>6.4</t>
        </is>
      </c>
      <c r="S101" s="1" t="n"/>
      <c r="T101" s="19" t="inlineStr">
        <is>
          <t>existant</t>
        </is>
      </c>
      <c r="U101" s="19" t="n">
        <v>1</v>
      </c>
      <c r="V101" s="1" t="n"/>
    </row>
    <row r="102">
      <c r="A102" s="19" t="inlineStr">
        <is>
          <t>MEL-05</t>
        </is>
      </c>
      <c r="B102" s="19" t="inlineStr">
        <is>
          <t>MEL</t>
        </is>
      </c>
      <c r="C102" s="19" t="inlineStr">
        <is>
          <t>Rapports mensuels transmis</t>
        </is>
      </c>
      <c r="D102" s="19" t="inlineStr">
        <is>
          <t># of monthly reports submitted</t>
        </is>
      </c>
      <c r="E102" s="19" t="inlineStr">
        <is>
          <t>Nombre</t>
        </is>
      </c>
      <c r="F102" s="19" t="inlineStr">
        <is>
          <t>Tier 2</t>
        </is>
      </c>
      <c r="G102" s="19" t="inlineStr">
        <is>
          <t>Rapports</t>
        </is>
      </c>
      <c r="H102" s="19" t="inlineStr">
        <is>
          <t>N/A</t>
        </is>
      </c>
      <c r="I102" s="19" t="inlineStr">
        <is>
          <t>Rapports au bailleur</t>
        </is>
      </c>
      <c r="J102" s="1" t="n"/>
      <c r="K102" s="19" t="inlineStr">
        <is>
          <t>Mensuelle</t>
        </is>
      </c>
      <c r="L102" s="1" t="n"/>
      <c r="M102" s="19" t="inlineStr">
        <is>
          <t>4</t>
        </is>
      </c>
      <c r="N102" s="1" t="n"/>
      <c r="O102" s="19" t="n">
        <v>4</v>
      </c>
      <c r="P102" s="1" t="n"/>
      <c r="Q102" s="1" t="n"/>
      <c r="R102" s="19" t="inlineStr">
        <is>
          <t>6.5</t>
        </is>
      </c>
      <c r="S102" s="1" t="n"/>
      <c r="T102" s="19" t="inlineStr">
        <is>
          <t>existant</t>
        </is>
      </c>
      <c r="U102" s="19" t="n">
        <v>2</v>
      </c>
      <c r="V102" s="1" t="n"/>
    </row>
    <row r="103">
      <c r="A103" s="19" t="inlineStr">
        <is>
          <t>MEL-06</t>
        </is>
      </c>
      <c r="B103" s="19" t="inlineStr">
        <is>
          <t>MEL</t>
        </is>
      </c>
      <c r="C103" s="19" t="inlineStr">
        <is>
          <t>Notes d'apprentissage publiées</t>
        </is>
      </c>
      <c r="D103" s="19" t="inlineStr">
        <is>
          <t># of learning briefs published</t>
        </is>
      </c>
      <c r="E103" s="19" t="inlineStr">
        <is>
          <t>Nombre</t>
        </is>
      </c>
      <c r="F103" s="19" t="inlineStr">
        <is>
          <t>Tier 2</t>
        </is>
      </c>
      <c r="G103" s="19" t="inlineStr">
        <is>
          <t>Notes</t>
        </is>
      </c>
      <c r="H103" s="19" t="inlineStr">
        <is>
          <t>N/A</t>
        </is>
      </c>
      <c r="I103" s="19" t="inlineStr">
        <is>
          <t>Notes publiées</t>
        </is>
      </c>
      <c r="J103" s="1" t="n"/>
      <c r="K103" s="19" t="inlineStr">
        <is>
          <t>Continue</t>
        </is>
      </c>
      <c r="L103" s="1" t="n"/>
      <c r="M103" s="19" t="inlineStr">
        <is>
          <t>2</t>
        </is>
      </c>
      <c r="N103" s="19" t="inlineStr">
        <is>
          <t>≥ 4</t>
        </is>
      </c>
      <c r="O103" s="19" t="n">
        <v>2</v>
      </c>
      <c r="P103" s="19" t="n">
        <v>4</v>
      </c>
      <c r="Q103" s="1" t="n"/>
      <c r="R103" s="19" t="inlineStr">
        <is>
          <t>6.6</t>
        </is>
      </c>
      <c r="S103" s="1" t="n"/>
      <c r="T103" s="19" t="inlineStr">
        <is>
          <t>existant</t>
        </is>
      </c>
      <c r="U103" s="19" t="n">
        <v>3</v>
      </c>
      <c r="V103" s="1" t="n"/>
    </row>
    <row r="104">
      <c r="A104" s="19" t="inlineStr">
        <is>
          <t>MEL-07</t>
        </is>
      </c>
      <c r="B104" s="19" t="inlineStr">
        <is>
          <t>MEL</t>
        </is>
      </c>
      <c r="C104" s="19" t="inlineStr">
        <is>
          <t>Indicateurs suivis en temps réel dans le tableau de bord</t>
        </is>
      </c>
      <c r="D104" s="19" t="inlineStr">
        <is>
          <t>% of indicators tracked in real-time MEL dashboard</t>
        </is>
      </c>
      <c r="E104" s="19" t="inlineStr">
        <is>
          <t>Pourcentage</t>
        </is>
      </c>
      <c r="F104" s="19" t="inlineStr">
        <is>
          <t>Tier 2</t>
        </is>
      </c>
      <c r="G104" s="19" t="inlineStr">
        <is>
          <t>Indicateurs alimentés automatiquement</t>
        </is>
      </c>
      <c r="H104" s="19" t="inlineStr">
        <is>
          <t>Indicateurs de la matrice maîtresse (priorité 1)</t>
        </is>
      </c>
      <c r="I104" s="19" t="inlineStr">
        <is>
          <t>Tableau de bord</t>
        </is>
      </c>
      <c r="J104" s="1" t="n"/>
      <c r="K104" s="19" t="inlineStr">
        <is>
          <t>Mensuelle</t>
        </is>
      </c>
      <c r="L104" s="1" t="n"/>
      <c r="M104" s="19" t="inlineStr">
        <is>
          <t>100 %</t>
        </is>
      </c>
      <c r="N104" s="19" t="inlineStr">
        <is>
          <t>100 %</t>
        </is>
      </c>
      <c r="O104" s="19" t="n">
        <v>100</v>
      </c>
      <c r="P104" s="19" t="n">
        <v>100</v>
      </c>
      <c r="Q104" s="1" t="n"/>
      <c r="R104" s="19" t="inlineStr">
        <is>
          <t>6.7</t>
        </is>
      </c>
      <c r="S104" s="1" t="n"/>
      <c r="T104" s="19" t="inlineStr">
        <is>
          <t>à corriger</t>
        </is>
      </c>
      <c r="U104" s="19" t="n">
        <v>1</v>
      </c>
      <c r="V104" s="19" t="inlineStr">
        <is>
          <t>Cible codée « 1 » ; dénominateur à fixer (indicateurs de priorité 1).</t>
        </is>
      </c>
    </row>
    <row r="105">
      <c r="A105" s="19" t="inlineStr">
        <is>
          <t>MEL-08</t>
        </is>
      </c>
      <c r="B105" s="19" t="inlineStr">
        <is>
          <t>MEL</t>
        </is>
      </c>
      <c r="C105" s="19" t="inlineStr">
        <is>
          <t>Visites de supervision réalisées selon le plan</t>
        </is>
      </c>
      <c r="D105" s="19" t="inlineStr">
        <is>
          <t>% of supervision visits completed per plan</t>
        </is>
      </c>
      <c r="E105" s="19" t="inlineStr">
        <is>
          <t>Pourcentage</t>
        </is>
      </c>
      <c r="F105" s="19" t="inlineStr">
        <is>
          <t>Tier 1</t>
        </is>
      </c>
      <c r="G105" s="19" t="inlineStr">
        <is>
          <t>Visites réalisées</t>
        </is>
      </c>
      <c r="H105" s="19" t="inlineStr">
        <is>
          <t>Visites planifiées</t>
        </is>
      </c>
      <c r="I105" s="19" t="inlineStr">
        <is>
          <t>Plan et rapports de supervision</t>
        </is>
      </c>
      <c r="J105" s="1" t="n"/>
      <c r="K105" s="19" t="inlineStr">
        <is>
          <t>Continue</t>
        </is>
      </c>
      <c r="L105" s="19" t="inlineStr">
        <is>
          <t>Province</t>
        </is>
      </c>
      <c r="M105" s="19" t="inlineStr">
        <is>
          <t>≥ 85 %</t>
        </is>
      </c>
      <c r="N105" s="19" t="inlineStr">
        <is>
          <t>≥ 85 % (rapprochement avec les registres)</t>
        </is>
      </c>
      <c r="O105" s="19" t="n">
        <v>85</v>
      </c>
      <c r="P105" s="1" t="n"/>
      <c r="Q105" s="19" t="inlineStr">
        <is>
          <t>&lt; 85 % : rouge</t>
        </is>
      </c>
      <c r="R105" s="19" t="inlineStr">
        <is>
          <t>6.8</t>
        </is>
      </c>
      <c r="S105" s="1" t="n"/>
      <c r="T105" s="19" t="inlineStr">
        <is>
          <t>existant</t>
        </is>
      </c>
      <c r="U105" s="19" t="n">
        <v>2</v>
      </c>
      <c r="V105" s="1" t="n"/>
    </row>
    <row r="106">
      <c r="A106" s="19" t="inlineStr">
        <is>
          <t>MEL-09</t>
        </is>
      </c>
      <c r="B106" s="19" t="inlineStr">
        <is>
          <t>MEL</t>
        </is>
      </c>
      <c r="C106" s="19" t="inlineStr">
        <is>
          <t>Rapports soumis à temps</t>
        </is>
      </c>
      <c r="D106" s="19" t="inlineStr">
        <is>
          <t>% of reports submitted on time</t>
        </is>
      </c>
      <c r="E106" s="19" t="inlineStr">
        <is>
          <t>Pourcentage</t>
        </is>
      </c>
      <c r="F106" s="19" t="inlineStr">
        <is>
          <t>Tier 1</t>
        </is>
      </c>
      <c r="G106" s="19" t="inlineStr">
        <is>
          <t>Rapports soumis à l'échéance</t>
        </is>
      </c>
      <c r="H106" s="19" t="inlineStr">
        <is>
          <t>Rapports attendus</t>
        </is>
      </c>
      <c r="I106" s="19" t="inlineStr">
        <is>
          <t>Journal des rapports</t>
        </is>
      </c>
      <c r="J106" s="1" t="n"/>
      <c r="K106" s="19" t="inlineStr">
        <is>
          <t>Continue</t>
        </is>
      </c>
      <c r="L106" s="19" t="inlineStr">
        <is>
          <t>Type de rapport</t>
        </is>
      </c>
      <c r="M106" s="19" t="inlineStr">
        <is>
          <t>100 %</t>
        </is>
      </c>
      <c r="N106" s="19" t="inlineStr">
        <is>
          <t>100 %</t>
        </is>
      </c>
      <c r="O106" s="19" t="n">
        <v>100</v>
      </c>
      <c r="P106" s="19" t="n">
        <v>100</v>
      </c>
      <c r="Q106" s="19" t="inlineStr">
        <is>
          <t>&lt; 90 % : rouge</t>
        </is>
      </c>
      <c r="R106" s="19" t="inlineStr">
        <is>
          <t>6.9</t>
        </is>
      </c>
      <c r="S106" s="1" t="n"/>
      <c r="T106" s="19" t="inlineStr">
        <is>
          <t>à corriger</t>
        </is>
      </c>
      <c r="U106" s="19" t="n">
        <v>1</v>
      </c>
      <c r="V106" s="19" t="inlineStr">
        <is>
          <t>Cible codée « 1 ».</t>
        </is>
      </c>
    </row>
    <row r="107">
      <c r="A107" s="19" t="inlineStr">
        <is>
          <t>MEL-10</t>
        </is>
      </c>
      <c r="B107" s="19" t="inlineStr">
        <is>
          <t>MEL</t>
        </is>
      </c>
      <c r="C107" s="19" t="inlineStr">
        <is>
          <t>Revues de conformité</t>
        </is>
      </c>
      <c r="D107" s="19" t="inlineStr">
        <is>
          <t># of compliance reviews conducted</t>
        </is>
      </c>
      <c r="E107" s="19" t="inlineStr">
        <is>
          <t>Nombre</t>
        </is>
      </c>
      <c r="F107" s="19" t="inlineStr">
        <is>
          <t>Tier 2</t>
        </is>
      </c>
      <c r="G107" s="19" t="inlineStr">
        <is>
          <t>Revues</t>
        </is>
      </c>
      <c r="H107" s="19" t="inlineStr">
        <is>
          <t>N/A</t>
        </is>
      </c>
      <c r="I107" s="19" t="inlineStr">
        <is>
          <t>Rapports de conformité</t>
        </is>
      </c>
      <c r="J107" s="1" t="n"/>
      <c r="K107" s="19" t="inlineStr">
        <is>
          <t>Mensuelle</t>
        </is>
      </c>
      <c r="L107" s="1" t="n"/>
      <c r="M107" s="19" t="inlineStr">
        <is>
          <t>15</t>
        </is>
      </c>
      <c r="N107" s="1" t="n"/>
      <c r="O107" s="19" t="n">
        <v>15</v>
      </c>
      <c r="P107" s="1" t="n"/>
      <c r="Q107" s="1" t="n"/>
      <c r="R107" s="19" t="inlineStr">
        <is>
          <t>6.10</t>
        </is>
      </c>
      <c r="S107" s="1" t="n"/>
      <c r="T107" s="19" t="inlineStr">
        <is>
          <t>existant</t>
        </is>
      </c>
      <c r="U107" s="19" t="n">
        <v>3</v>
      </c>
      <c r="V107" s="1" t="n"/>
    </row>
    <row r="108">
      <c r="A108" s="19" t="inlineStr">
        <is>
          <t>MEL-11</t>
        </is>
      </c>
      <c r="B108" s="19" t="inlineStr">
        <is>
          <t>MEL</t>
        </is>
      </c>
      <c r="C108" s="19" t="inlineStr">
        <is>
          <t>Revues financières</t>
        </is>
      </c>
      <c r="D108" s="19" t="inlineStr">
        <is>
          <t># of finance reviews conducted</t>
        </is>
      </c>
      <c r="E108" s="19" t="inlineStr">
        <is>
          <t>Nombre</t>
        </is>
      </c>
      <c r="F108" s="19" t="inlineStr">
        <is>
          <t>Tier 2</t>
        </is>
      </c>
      <c r="G108" s="19" t="inlineStr">
        <is>
          <t>Revues</t>
        </is>
      </c>
      <c r="H108" s="19" t="inlineStr">
        <is>
          <t>N/A</t>
        </is>
      </c>
      <c r="I108" s="19" t="inlineStr">
        <is>
          <t>Rapports financiers</t>
        </is>
      </c>
      <c r="J108" s="1" t="n"/>
      <c r="K108" s="19" t="inlineStr">
        <is>
          <t>Mensuelle</t>
        </is>
      </c>
      <c r="L108" s="1" t="n"/>
      <c r="M108" s="19" t="inlineStr">
        <is>
          <t>15</t>
        </is>
      </c>
      <c r="N108" s="1" t="n"/>
      <c r="O108" s="19" t="n">
        <v>15</v>
      </c>
      <c r="P108" s="1" t="n"/>
      <c r="Q108" s="1" t="n"/>
      <c r="R108" s="19" t="inlineStr">
        <is>
          <t>6.11</t>
        </is>
      </c>
      <c r="S108" s="1" t="n"/>
      <c r="T108" s="19" t="inlineStr">
        <is>
          <t>existant</t>
        </is>
      </c>
      <c r="U108" s="19" t="n">
        <v>3</v>
      </c>
      <c r="V108" s="1" t="n"/>
    </row>
    <row r="109">
      <c r="A109" s="19" t="inlineStr">
        <is>
          <t>MEL-12</t>
        </is>
      </c>
      <c r="B109" s="19" t="inlineStr">
        <is>
          <t>MEL</t>
        </is>
      </c>
      <c r="C109" s="19" t="inlineStr">
        <is>
          <t>Séances de suivi des actions correctives</t>
        </is>
      </c>
      <c r="D109" s="19" t="inlineStr">
        <is>
          <t># of corrective-action tracking sessions conducted</t>
        </is>
      </c>
      <c r="E109" s="19" t="inlineStr">
        <is>
          <t>Nombre</t>
        </is>
      </c>
      <c r="F109" s="19" t="inlineStr">
        <is>
          <t>Tier 2</t>
        </is>
      </c>
      <c r="G109" s="19" t="inlineStr">
        <is>
          <t>Séances</t>
        </is>
      </c>
      <c r="H109" s="19" t="inlineStr">
        <is>
          <t>N/A</t>
        </is>
      </c>
      <c r="I109" s="19" t="inlineStr">
        <is>
          <t>Suivi des actions correctives</t>
        </is>
      </c>
      <c r="J109" s="19" t="inlineStr">
        <is>
          <t>qc_suivi</t>
        </is>
      </c>
      <c r="K109" s="19" t="inlineStr">
        <is>
          <t>Mensuelle</t>
        </is>
      </c>
      <c r="L109" s="1" t="n"/>
      <c r="M109" s="19" t="inlineStr">
        <is>
          <t>10</t>
        </is>
      </c>
      <c r="N109" s="1" t="n"/>
      <c r="O109" s="19" t="n">
        <v>10</v>
      </c>
      <c r="P109" s="1" t="n"/>
      <c r="Q109" s="1" t="n"/>
      <c r="R109" s="19" t="inlineStr">
        <is>
          <t>6.12</t>
        </is>
      </c>
      <c r="S109" s="1" t="n"/>
      <c r="T109" s="19" t="inlineStr">
        <is>
          <t>existant</t>
        </is>
      </c>
      <c r="U109" s="19" t="n">
        <v>3</v>
      </c>
      <c r="V109" s="1" t="n"/>
    </row>
    <row r="110">
      <c r="A110" s="19" t="inlineStr">
        <is>
          <t>MEL-13</t>
        </is>
      </c>
      <c r="B110" s="19" t="inlineStr">
        <is>
          <t>MEL</t>
        </is>
      </c>
      <c r="C110" s="19" t="inlineStr">
        <is>
          <t>Revues des apprentissages avec partenaires et équipes</t>
        </is>
      </c>
      <c r="D110" s="19" t="inlineStr">
        <is>
          <t># of learning review sessions with partners and field teams</t>
        </is>
      </c>
      <c r="E110" s="19" t="inlineStr">
        <is>
          <t>Nombre</t>
        </is>
      </c>
      <c r="F110" s="19" t="inlineStr">
        <is>
          <t>Tier 2</t>
        </is>
      </c>
      <c r="G110" s="19" t="inlineStr">
        <is>
          <t>Séances</t>
        </is>
      </c>
      <c r="H110" s="19" t="inlineStr">
        <is>
          <t>N/A</t>
        </is>
      </c>
      <c r="I110" s="19" t="inlineStr">
        <is>
          <t>Rapports de revue</t>
        </is>
      </c>
      <c r="J110" s="1" t="n"/>
      <c r="K110" s="19" t="inlineStr">
        <is>
          <t>Trimestrielle</t>
        </is>
      </c>
      <c r="L110" s="1" t="n"/>
      <c r="M110" s="19" t="inlineStr">
        <is>
          <t>10</t>
        </is>
      </c>
      <c r="N110" s="1" t="n"/>
      <c r="O110" s="19" t="n">
        <v>10</v>
      </c>
      <c r="P110" s="1" t="n"/>
      <c r="Q110" s="1" t="n"/>
      <c r="R110" s="19" t="inlineStr">
        <is>
          <t>6.13</t>
        </is>
      </c>
      <c r="S110" s="1" t="n"/>
      <c r="T110" s="19" t="inlineStr">
        <is>
          <t>existant</t>
        </is>
      </c>
      <c r="U110" s="19" t="n">
        <v>3</v>
      </c>
      <c r="V110" s="1" t="n"/>
    </row>
    <row r="111">
      <c r="A111" s="19" t="inlineStr">
        <is>
          <t>MEL-14</t>
        </is>
      </c>
      <c r="B111" s="19" t="inlineStr">
        <is>
          <t>MEL</t>
        </is>
      </c>
      <c r="C111" s="19" t="inlineStr">
        <is>
          <t>Déploiements couverts par les procédures de sécurité</t>
        </is>
      </c>
      <c r="D111" s="19" t="inlineStr">
        <is>
          <t>% of field deployments covered by security clearance procedures</t>
        </is>
      </c>
      <c r="E111" s="19" t="inlineStr">
        <is>
          <t>Pourcentage</t>
        </is>
      </c>
      <c r="F111" s="19" t="inlineStr">
        <is>
          <t>Tier 2</t>
        </is>
      </c>
      <c r="G111" s="19" t="inlineStr">
        <is>
          <t>Déploiements couverts</t>
        </is>
      </c>
      <c r="H111" s="19" t="inlineStr">
        <is>
          <t>Déploiements</t>
        </is>
      </c>
      <c r="I111" s="19" t="inlineStr">
        <is>
          <t>Journal sécurité</t>
        </is>
      </c>
      <c r="J111" s="1" t="n"/>
      <c r="K111" s="19" t="inlineStr">
        <is>
          <t>Mensuelle</t>
        </is>
      </c>
      <c r="L111" s="1" t="n"/>
      <c r="M111" s="19" t="inlineStr">
        <is>
          <t>100 %</t>
        </is>
      </c>
      <c r="N111" s="1" t="n"/>
      <c r="O111" s="19" t="n">
        <v>100</v>
      </c>
      <c r="P111" s="1" t="n"/>
      <c r="Q111" s="19" t="inlineStr">
        <is>
          <t>&lt; 100 % : rouge</t>
        </is>
      </c>
      <c r="R111" s="19" t="inlineStr">
        <is>
          <t>6.14</t>
        </is>
      </c>
      <c r="S111" s="1" t="n"/>
      <c r="T111" s="19" t="inlineStr">
        <is>
          <t>existant</t>
        </is>
      </c>
      <c r="U111" s="19" t="n">
        <v>2</v>
      </c>
      <c r="V111" s="1" t="n"/>
    </row>
    <row r="112">
      <c r="A112" s="19" t="inlineStr">
        <is>
          <t>MEL-15</t>
        </is>
      </c>
      <c r="B112" s="19" t="inlineStr">
        <is>
          <t>MEL</t>
        </is>
      </c>
      <c r="C112" s="19" t="inlineStr">
        <is>
          <t>Complétude et promptitude des rapports hebdomadaires des IP</t>
        </is>
      </c>
      <c r="D112" s="19" t="inlineStr">
        <is>
          <t>% of expected weekly IP reports received on time</t>
        </is>
      </c>
      <c r="E112" s="19" t="inlineStr">
        <is>
          <t>Pourcentage</t>
        </is>
      </c>
      <c r="F112" s="19" t="inlineStr">
        <is>
          <t>Tier 1</t>
        </is>
      </c>
      <c r="G112" s="19" t="inlineStr">
        <is>
          <t>Rapports IP x ZS reçus le vendredi (dimanche au plus tard)</t>
        </is>
      </c>
      <c r="H112" s="19" t="inlineStr">
        <is>
          <t>Rapports IP x ZS attendus</t>
        </is>
      </c>
      <c r="I112" s="19" t="inlineStr">
        <is>
          <t>Feuille saisie_hebdo</t>
        </is>
      </c>
      <c r="J112" s="19" t="inlineStr">
        <is>
          <t>saisie_hebdo</t>
        </is>
      </c>
      <c r="K112" s="19" t="inlineStr">
        <is>
          <t>Hebdomadaire</t>
        </is>
      </c>
      <c r="L112" s="19" t="inlineStr">
        <is>
          <t>IP, ZS</t>
        </is>
      </c>
      <c r="M112" s="1" t="n"/>
      <c r="N112" s="1" t="n"/>
      <c r="O112" s="1" t="n"/>
      <c r="P112" s="1" t="n"/>
      <c r="Q112" s="19" t="inlineStr">
        <is>
          <t>&lt; 80 % : rouge</t>
        </is>
      </c>
      <c r="R112" s="1" t="n"/>
      <c r="S112" s="1" t="n"/>
      <c r="T112" s="19" t="inlineStr">
        <is>
          <t>nouveau</t>
        </is>
      </c>
      <c r="U112" s="19" t="n">
        <v>1</v>
      </c>
      <c r="V112" s="19" t="inlineStr">
        <is>
          <t>Calculé automatiquement par le contrôle qualité : 12,5 % pour les semaines 36 à 41.</t>
        </is>
      </c>
    </row>
    <row r="113">
      <c r="A113" s="19" t="inlineStr">
        <is>
          <t>MEL-16</t>
        </is>
      </c>
      <c r="B113" s="19" t="inlineStr">
        <is>
          <t>MEL</t>
        </is>
      </c>
      <c r="C113" s="19" t="inlineStr">
        <is>
          <t>Facteur de vérification des données (DQA)</t>
        </is>
      </c>
      <c r="D113" s="19" t="inlineStr">
        <is>
          <t>Data verification factor (recounted/reported)</t>
        </is>
      </c>
      <c r="E113" s="19" t="inlineStr">
        <is>
          <t>Ratio</t>
        </is>
      </c>
      <c r="F113" s="19" t="inlineStr">
        <is>
          <t>Tier 2</t>
        </is>
      </c>
      <c r="G113" s="19" t="inlineStr">
        <is>
          <t>Valeur recomptée dans les registres</t>
        </is>
      </c>
      <c r="H113" s="19" t="inlineStr">
        <is>
          <t>Valeur déclarée</t>
        </is>
      </c>
      <c r="I113" s="19" t="inlineStr">
        <is>
          <t>Visites DQA</t>
        </is>
      </c>
      <c r="J113" s="1" t="n"/>
      <c r="K113" s="19" t="inlineStr">
        <is>
          <t>Trimestrielle</t>
        </is>
      </c>
      <c r="L113" s="19" t="inlineStr">
        <is>
          <t>Indicateur, IP</t>
        </is>
      </c>
      <c r="M113" s="1" t="n"/>
      <c r="N113" s="1" t="n"/>
      <c r="O113" s="1" t="n"/>
      <c r="P113" s="1" t="n"/>
      <c r="Q113" s="19" t="inlineStr">
        <is>
          <t>Hors 0,90 à 1,10 : rouge</t>
        </is>
      </c>
      <c r="R113" s="1" t="n"/>
      <c r="S113" s="1" t="n"/>
      <c r="T113" s="19" t="inlineStr">
        <is>
          <t>nouveau</t>
        </is>
      </c>
      <c r="U113" s="19" t="n">
        <v>2</v>
      </c>
      <c r="V113" s="19" t="inlineStr">
        <is>
          <t>À appliquer à 5 indicateurs : SURV-01, SURV-02, SURV-05, CREC-03, PCI-05.</t>
        </is>
      </c>
    </row>
    <row r="114">
      <c r="A114" s="19" t="inlineStr">
        <is>
          <t>MEL-17</t>
        </is>
      </c>
      <c r="B114" s="19" t="inlineStr">
        <is>
          <t>MEL</t>
        </is>
      </c>
      <c r="C114" s="19" t="inlineStr">
        <is>
          <t>Anomalies de qualité corrigées en 7 jours ou moins</t>
        </is>
      </c>
      <c r="D114" s="19" t="inlineStr">
        <is>
          <t>% of data quality issues resolved within 7 days</t>
        </is>
      </c>
      <c r="E114" s="19" t="inlineStr">
        <is>
          <t>Pourcentage</t>
        </is>
      </c>
      <c r="F114" s="19" t="inlineStr">
        <is>
          <t>Tier 1</t>
        </is>
      </c>
      <c r="G114" s="19" t="inlineStr">
        <is>
          <t>Anomalies corrigées dans les 7 jours</t>
        </is>
      </c>
      <c r="H114" s="19" t="inlineStr">
        <is>
          <t>Anomalies détectées</t>
        </is>
      </c>
      <c r="I114" s="19" t="inlineStr">
        <is>
          <t>Feuille qc_suivi</t>
        </is>
      </c>
      <c r="J114" s="19" t="inlineStr">
        <is>
          <t>qc_suivi</t>
        </is>
      </c>
      <c r="K114" s="19" t="inlineStr">
        <is>
          <t>Hebdomadaire</t>
        </is>
      </c>
      <c r="L114" s="19" t="inlineStr">
        <is>
          <t>Source, gravité</t>
        </is>
      </c>
      <c r="M114" s="1" t="n"/>
      <c r="N114" s="1" t="n"/>
      <c r="O114" s="1" t="n"/>
      <c r="P114" s="1" t="n"/>
      <c r="Q114" s="19" t="inlineStr">
        <is>
          <t>&lt; 80 % : rouge</t>
        </is>
      </c>
      <c r="R114" s="1" t="n"/>
      <c r="S114" s="1" t="n"/>
      <c r="T114" s="19" t="inlineStr">
        <is>
          <t>nouveau</t>
        </is>
      </c>
      <c r="U114" s="19" t="n">
        <v>1</v>
      </c>
      <c r="V114" s="1" t="n"/>
    </row>
    <row r="115">
      <c r="A115" s="19" t="inlineStr">
        <is>
          <t>PREP-01</t>
        </is>
      </c>
      <c r="B115" s="19" t="inlineStr">
        <is>
          <t>PREP</t>
        </is>
      </c>
      <c r="C115" s="19" t="inlineStr">
        <is>
          <t>Évaluations de préparation et microplans réalisés</t>
        </is>
      </c>
      <c r="D115" s="19" t="inlineStr">
        <is>
          <t># of readiness assessments and microplans completed</t>
        </is>
      </c>
      <c r="E115" s="19" t="inlineStr">
        <is>
          <t>Nombre</t>
        </is>
      </c>
      <c r="F115" s="19" t="inlineStr">
        <is>
          <t>Tier 2</t>
        </is>
      </c>
      <c r="G115" s="19" t="inlineStr">
        <is>
          <t>Évaluations de préparation et microplans réalisés</t>
        </is>
      </c>
      <c r="H115" s="19" t="inlineStr">
        <is>
          <t>N/A</t>
        </is>
      </c>
      <c r="I115" s="19" t="inlineStr">
        <is>
          <t>Rapports de préparation</t>
        </is>
      </c>
      <c r="J115" s="1" t="n"/>
      <c r="K115" s="19" t="inlineStr">
        <is>
          <t>Mensuelle</t>
        </is>
      </c>
      <c r="L115" s="19" t="inlineStr">
        <is>
          <t>Province, ZS</t>
        </is>
      </c>
      <c r="M115" s="1" t="n"/>
      <c r="N115" s="19" t="inlineStr">
        <is>
          <t>150</t>
        </is>
      </c>
      <c r="O115" s="1" t="n"/>
      <c r="P115" s="19" t="n">
        <v>150</v>
      </c>
      <c r="Q115" s="1" t="n"/>
      <c r="R115" s="1" t="n"/>
      <c r="S115" s="1" t="n"/>
      <c r="T115" s="19" t="inlineStr">
        <is>
          <t>nouveau</t>
        </is>
      </c>
      <c r="U115" s="19" t="n">
        <v>2</v>
      </c>
      <c r="V115" s="19" t="inlineStr">
        <is>
          <t>Propre à la Tranche 5 (provinces en anneau).</t>
        </is>
      </c>
    </row>
    <row r="116">
      <c r="A116" s="19" t="inlineStr">
        <is>
          <t>PREP-02</t>
        </is>
      </c>
      <c r="B116" s="19" t="inlineStr">
        <is>
          <t>PREP</t>
        </is>
      </c>
      <c r="C116" s="19" t="inlineStr">
        <is>
          <t>Agents de préparation formés, recyclés et inscrits sur liste d'activation</t>
        </is>
      </c>
      <c r="D116" s="19" t="inlineStr">
        <is>
          <t># of preparedness workforce members trained and rostered</t>
        </is>
      </c>
      <c r="E116" s="19" t="inlineStr">
        <is>
          <t>Nombre</t>
        </is>
      </c>
      <c r="F116" s="19" t="inlineStr">
        <is>
          <t>Tier 2</t>
        </is>
      </c>
      <c r="G116" s="19" t="inlineStr">
        <is>
          <t>Agents de préparation formés, recyclés et inscrits sur liste d'activation</t>
        </is>
      </c>
      <c r="H116" s="19" t="inlineStr">
        <is>
          <t>N/A</t>
        </is>
      </c>
      <c r="I116" s="19" t="inlineStr">
        <is>
          <t>Rapports de préparation</t>
        </is>
      </c>
      <c r="J116" s="1" t="n"/>
      <c r="K116" s="19" t="inlineStr">
        <is>
          <t>Mensuelle</t>
        </is>
      </c>
      <c r="L116" s="19" t="inlineStr">
        <is>
          <t>Province, ZS</t>
        </is>
      </c>
      <c r="M116" s="1" t="n"/>
      <c r="N116" s="19" t="inlineStr">
        <is>
          <t>8 000</t>
        </is>
      </c>
      <c r="O116" s="1" t="n"/>
      <c r="P116" s="19" t="n">
        <v>8000</v>
      </c>
      <c r="Q116" s="1" t="n"/>
      <c r="R116" s="1" t="n"/>
      <c r="S116" s="1" t="n"/>
      <c r="T116" s="19" t="inlineStr">
        <is>
          <t>nouveau</t>
        </is>
      </c>
      <c r="U116" s="19" t="n">
        <v>2</v>
      </c>
      <c r="V116" s="19" t="inlineStr">
        <is>
          <t>Propre à la Tranche 5 (provinces en anneau).</t>
        </is>
      </c>
    </row>
    <row r="117">
      <c r="A117" s="19" t="inlineStr">
        <is>
          <t>PREP-03</t>
        </is>
      </c>
      <c r="B117" s="19" t="inlineStr">
        <is>
          <t>PREP</t>
        </is>
      </c>
      <c r="C117" s="19" t="inlineStr">
        <is>
          <t>Listes d'activation provinciales et de ZS tenues à jour</t>
        </is>
      </c>
      <c r="D117" s="19" t="inlineStr">
        <is>
          <t># of activation rosters maintained</t>
        </is>
      </c>
      <c r="E117" s="19" t="inlineStr">
        <is>
          <t>Nombre</t>
        </is>
      </c>
      <c r="F117" s="19" t="inlineStr">
        <is>
          <t>Tier 2</t>
        </is>
      </c>
      <c r="G117" s="19" t="inlineStr">
        <is>
          <t>Listes d'activation provinciales et de ZS tenues à jour</t>
        </is>
      </c>
      <c r="H117" s="19" t="inlineStr">
        <is>
          <t>N/A</t>
        </is>
      </c>
      <c r="I117" s="19" t="inlineStr">
        <is>
          <t>Rapports de préparation</t>
        </is>
      </c>
      <c r="J117" s="1" t="n"/>
      <c r="K117" s="19" t="inlineStr">
        <is>
          <t>Mensuelle</t>
        </is>
      </c>
      <c r="L117" s="19" t="inlineStr">
        <is>
          <t>Province, ZS</t>
        </is>
      </c>
      <c r="M117" s="1" t="n"/>
      <c r="N117" s="19" t="inlineStr">
        <is>
          <t>200</t>
        </is>
      </c>
      <c r="O117" s="1" t="n"/>
      <c r="P117" s="19" t="n">
        <v>200</v>
      </c>
      <c r="Q117" s="1" t="n"/>
      <c r="R117" s="1" t="n"/>
      <c r="S117" s="1" t="n"/>
      <c r="T117" s="19" t="inlineStr">
        <is>
          <t>nouveau</t>
        </is>
      </c>
      <c r="U117" s="19" t="n">
        <v>2</v>
      </c>
      <c r="V117" s="19" t="inlineStr">
        <is>
          <t>Propre à la Tranche 5 (provinces en anneau).</t>
        </is>
      </c>
    </row>
    <row r="118">
      <c r="A118" s="19" t="inlineStr">
        <is>
          <t>PREP-04</t>
        </is>
      </c>
      <c r="B118" s="19" t="inlineStr">
        <is>
          <t>PREP</t>
        </is>
      </c>
      <c r="C118" s="19" t="inlineStr">
        <is>
          <t>Membres d'EIR recyclés</t>
        </is>
      </c>
      <c r="D118" s="19" t="inlineStr">
        <is>
          <t># of RRT members refreshed</t>
        </is>
      </c>
      <c r="E118" s="19" t="inlineStr">
        <is>
          <t>Nombre</t>
        </is>
      </c>
      <c r="F118" s="19" t="inlineStr">
        <is>
          <t>Tier 2</t>
        </is>
      </c>
      <c r="G118" s="19" t="inlineStr">
        <is>
          <t>Membres d'EIR recyclés</t>
        </is>
      </c>
      <c r="H118" s="19" t="inlineStr">
        <is>
          <t>N/A</t>
        </is>
      </c>
      <c r="I118" s="19" t="inlineStr">
        <is>
          <t>Rapports de préparation</t>
        </is>
      </c>
      <c r="J118" s="1" t="n"/>
      <c r="K118" s="19" t="inlineStr">
        <is>
          <t>Mensuelle</t>
        </is>
      </c>
      <c r="L118" s="19" t="inlineStr">
        <is>
          <t>Province, ZS</t>
        </is>
      </c>
      <c r="M118" s="1" t="n"/>
      <c r="N118" s="19" t="inlineStr">
        <is>
          <t>500</t>
        </is>
      </c>
      <c r="O118" s="1" t="n"/>
      <c r="P118" s="19" t="n">
        <v>500</v>
      </c>
      <c r="Q118" s="1" t="n"/>
      <c r="R118" s="1" t="n"/>
      <c r="S118" s="1" t="n"/>
      <c r="T118" s="19" t="inlineStr">
        <is>
          <t>nouveau</t>
        </is>
      </c>
      <c r="U118" s="19" t="n">
        <v>2</v>
      </c>
      <c r="V118" s="19" t="inlineStr">
        <is>
          <t>Propre à la Tranche 5 (provinces en anneau).</t>
        </is>
      </c>
    </row>
    <row r="119">
      <c r="A119" s="19" t="inlineStr">
        <is>
          <t>PREP-05</t>
        </is>
      </c>
      <c r="B119" s="19" t="inlineStr">
        <is>
          <t>PREP</t>
        </is>
      </c>
      <c r="C119" s="19" t="inlineStr">
        <is>
          <t>Kits de préparation prépositionnés et suivis</t>
        </is>
      </c>
      <c r="D119" s="19" t="inlineStr">
        <is>
          <t># of preparedness kits pre-positioned</t>
        </is>
      </c>
      <c r="E119" s="19" t="inlineStr">
        <is>
          <t>Nombre</t>
        </is>
      </c>
      <c r="F119" s="19" t="inlineStr">
        <is>
          <t>Tier 2</t>
        </is>
      </c>
      <c r="G119" s="19" t="inlineStr">
        <is>
          <t>Kits de préparation prépositionnés et suivis</t>
        </is>
      </c>
      <c r="H119" s="19" t="inlineStr">
        <is>
          <t>N/A</t>
        </is>
      </c>
      <c r="I119" s="19" t="inlineStr">
        <is>
          <t>Rapports de préparation</t>
        </is>
      </c>
      <c r="J119" s="1" t="n"/>
      <c r="K119" s="19" t="inlineStr">
        <is>
          <t>Mensuelle</t>
        </is>
      </c>
      <c r="L119" s="19" t="inlineStr">
        <is>
          <t>Province, ZS</t>
        </is>
      </c>
      <c r="M119" s="1" t="n"/>
      <c r="N119" s="19" t="inlineStr">
        <is>
          <t>500</t>
        </is>
      </c>
      <c r="O119" s="1" t="n"/>
      <c r="P119" s="19" t="n">
        <v>500</v>
      </c>
      <c r="Q119" s="1" t="n"/>
      <c r="R119" s="1" t="n"/>
      <c r="S119" s="1" t="n"/>
      <c r="T119" s="19" t="inlineStr">
        <is>
          <t>nouveau</t>
        </is>
      </c>
      <c r="U119" s="19" t="n">
        <v>2</v>
      </c>
      <c r="V119" s="19" t="inlineStr">
        <is>
          <t>Propre à la Tranche 5 (provinces en anneau).</t>
        </is>
      </c>
    </row>
    <row r="120">
      <c r="A120" s="19" t="inlineStr">
        <is>
          <t>PREP-06</t>
        </is>
      </c>
      <c r="B120" s="19" t="inlineStr">
        <is>
          <t>PREP</t>
        </is>
      </c>
      <c r="C120" s="19" t="inlineStr">
        <is>
          <t>Revues d'action précoce et de préparation</t>
        </is>
      </c>
      <c r="D120" s="19" t="inlineStr">
        <is>
          <t># of early action/readiness reviews</t>
        </is>
      </c>
      <c r="E120" s="19" t="inlineStr">
        <is>
          <t>Nombre</t>
        </is>
      </c>
      <c r="F120" s="19" t="inlineStr">
        <is>
          <t>Tier 2</t>
        </is>
      </c>
      <c r="G120" s="19" t="inlineStr">
        <is>
          <t>Revues d'action précoce et de préparation</t>
        </is>
      </c>
      <c r="H120" s="19" t="inlineStr">
        <is>
          <t>N/A</t>
        </is>
      </c>
      <c r="I120" s="19" t="inlineStr">
        <is>
          <t>Rapports de préparation</t>
        </is>
      </c>
      <c r="J120" s="1" t="n"/>
      <c r="K120" s="19" t="inlineStr">
        <is>
          <t>Mensuelle</t>
        </is>
      </c>
      <c r="L120" s="19" t="inlineStr">
        <is>
          <t>Province, ZS</t>
        </is>
      </c>
      <c r="M120" s="1" t="n"/>
      <c r="N120" s="19" t="inlineStr">
        <is>
          <t>40</t>
        </is>
      </c>
      <c r="O120" s="1" t="n"/>
      <c r="P120" s="19" t="n">
        <v>40</v>
      </c>
      <c r="Q120" s="1" t="n"/>
      <c r="R120" s="1" t="n"/>
      <c r="S120" s="1" t="n"/>
      <c r="T120" s="19" t="inlineStr">
        <is>
          <t>nouveau</t>
        </is>
      </c>
      <c r="U120" s="19" t="n">
        <v>2</v>
      </c>
      <c r="V120" s="19" t="inlineStr">
        <is>
          <t>Propre à la Tranche 5 (provinces en anneau).</t>
        </is>
      </c>
    </row>
    <row r="121">
      <c r="A121" s="19" t="inlineStr">
        <is>
          <t>DEPL-01</t>
        </is>
      </c>
      <c r="B121" s="19" t="inlineStr">
        <is>
          <t>DEPL</t>
        </is>
      </c>
      <c r="C121" s="19" t="inlineStr">
        <is>
          <t>Sites de déplacés et communautés hôtes cartographiés et classés par risque</t>
        </is>
      </c>
      <c r="D121" s="19" t="inlineStr">
        <is>
          <t># of IDP/host-community sites mapped and risk-ranked</t>
        </is>
      </c>
      <c r="E121" s="19" t="inlineStr">
        <is>
          <t>Nombre</t>
        </is>
      </c>
      <c r="F121" s="19" t="inlineStr">
        <is>
          <t>Tier 2</t>
        </is>
      </c>
      <c r="G121" s="19" t="inlineStr">
        <is>
          <t>Sites de déplacés et communautés hôtes cartographiés et classés par risque</t>
        </is>
      </c>
      <c r="H121" s="19" t="inlineStr">
        <is>
          <t>N/A</t>
        </is>
      </c>
      <c r="I121" s="19" t="inlineStr">
        <is>
          <t>Rapports des sites de déplacés ; Fiche SBC journalière (ODK)</t>
        </is>
      </c>
      <c r="J121" s="19" t="inlineStr">
        <is>
          <t>type_site = Site de déplacés / Camp de réfugiés</t>
        </is>
      </c>
      <c r="K121" s="19" t="inlineStr">
        <is>
          <t>Mensuelle</t>
        </is>
      </c>
      <c r="L121" s="19" t="inlineStr">
        <is>
          <t>Site, sexe</t>
        </is>
      </c>
      <c r="M121" s="1" t="n"/>
      <c r="N121" s="19" t="inlineStr">
        <is>
          <t>300</t>
        </is>
      </c>
      <c r="O121" s="1" t="n"/>
      <c r="P121" s="19" t="n">
        <v>300</v>
      </c>
      <c r="Q121" s="1" t="n"/>
      <c r="R121" s="1" t="n"/>
      <c r="S121" s="1" t="n"/>
      <c r="T121" s="19" t="inlineStr">
        <is>
          <t>nouveau</t>
        </is>
      </c>
      <c r="U121" s="19" t="n">
        <v>2</v>
      </c>
      <c r="V121" s="19" t="inlineStr">
        <is>
          <t>Propre à la Tranche 5 (milieux de déplacement).</t>
        </is>
      </c>
    </row>
    <row r="122">
      <c r="A122" s="19" t="inlineStr">
        <is>
          <t>DEPL-02</t>
        </is>
      </c>
      <c r="B122" s="19" t="inlineStr">
        <is>
          <t>DEPL</t>
        </is>
      </c>
      <c r="C122" s="19" t="inlineStr">
        <is>
          <t>Points focaux formés et activés en milieu de déplacement</t>
        </is>
      </c>
      <c r="D122" s="19" t="inlineStr">
        <is>
          <t># of IDP focal persons trained and activated</t>
        </is>
      </c>
      <c r="E122" s="19" t="inlineStr">
        <is>
          <t>Nombre</t>
        </is>
      </c>
      <c r="F122" s="19" t="inlineStr">
        <is>
          <t>Tier 2</t>
        </is>
      </c>
      <c r="G122" s="19" t="inlineStr">
        <is>
          <t>Points focaux formés et activés en milieu de déplacement</t>
        </is>
      </c>
      <c r="H122" s="19" t="inlineStr">
        <is>
          <t>N/A</t>
        </is>
      </c>
      <c r="I122" s="19" t="inlineStr">
        <is>
          <t>Rapports des sites de déplacés ; Fiche SBC journalière (ODK)</t>
        </is>
      </c>
      <c r="J122" s="19" t="inlineStr">
        <is>
          <t>type_site = Site de déplacés / Camp de réfugiés</t>
        </is>
      </c>
      <c r="K122" s="19" t="inlineStr">
        <is>
          <t>Mensuelle</t>
        </is>
      </c>
      <c r="L122" s="19" t="inlineStr">
        <is>
          <t>Site, sexe</t>
        </is>
      </c>
      <c r="M122" s="1" t="n"/>
      <c r="N122" s="19" t="inlineStr">
        <is>
          <t>1 500</t>
        </is>
      </c>
      <c r="O122" s="1" t="n"/>
      <c r="P122" s="19" t="n">
        <v>1500</v>
      </c>
      <c r="Q122" s="1" t="n"/>
      <c r="R122" s="1" t="n"/>
      <c r="S122" s="1" t="n"/>
      <c r="T122" s="19" t="inlineStr">
        <is>
          <t>nouveau</t>
        </is>
      </c>
      <c r="U122" s="19" t="n">
        <v>2</v>
      </c>
      <c r="V122" s="19" t="inlineStr">
        <is>
          <t>Propre à la Tranche 5 (milieux de déplacement).</t>
        </is>
      </c>
    </row>
    <row r="123">
      <c r="A123" s="19" t="inlineStr">
        <is>
          <t>DEPL-03</t>
        </is>
      </c>
      <c r="B123" s="19" t="inlineStr">
        <is>
          <t>DEPL</t>
        </is>
      </c>
      <c r="C123" s="19" t="inlineStr">
        <is>
          <t>Alertes ou préoccupations captées et référées en milieu de déplacement</t>
        </is>
      </c>
      <c r="D123" s="19" t="inlineStr">
        <is>
          <t># of alerts/concerns captured and referred in displacement settings</t>
        </is>
      </c>
      <c r="E123" s="19" t="inlineStr">
        <is>
          <t>Nombre</t>
        </is>
      </c>
      <c r="F123" s="19" t="inlineStr">
        <is>
          <t>Tier 2</t>
        </is>
      </c>
      <c r="G123" s="19" t="inlineStr">
        <is>
          <t>Alertes ou préoccupations captées et référées en milieu de déplacement</t>
        </is>
      </c>
      <c r="H123" s="19" t="inlineStr">
        <is>
          <t>N/A</t>
        </is>
      </c>
      <c r="I123" s="19" t="inlineStr">
        <is>
          <t>Rapports des sites de déplacés ; Fiche SBC journalière (ODK)</t>
        </is>
      </c>
      <c r="J123" s="19" t="inlineStr">
        <is>
          <t>type_site = Site de déplacés / Camp de réfugiés</t>
        </is>
      </c>
      <c r="K123" s="19" t="inlineStr">
        <is>
          <t>Mensuelle</t>
        </is>
      </c>
      <c r="L123" s="19" t="inlineStr">
        <is>
          <t>Site, sexe</t>
        </is>
      </c>
      <c r="M123" s="1" t="n"/>
      <c r="N123" s="19" t="inlineStr">
        <is>
          <t>5 000</t>
        </is>
      </c>
      <c r="O123" s="1" t="n"/>
      <c r="P123" s="19" t="n">
        <v>5000</v>
      </c>
      <c r="Q123" s="1" t="n"/>
      <c r="R123" s="1" t="n"/>
      <c r="S123" s="1" t="n"/>
      <c r="T123" s="19" t="inlineStr">
        <is>
          <t>nouveau</t>
        </is>
      </c>
      <c r="U123" s="19" t="n">
        <v>2</v>
      </c>
      <c r="V123" s="19" t="inlineStr">
        <is>
          <t>Propre à la Tranche 5 (milieux de déplacement).</t>
        </is>
      </c>
    </row>
    <row r="124">
      <c r="A124" s="19" t="inlineStr">
        <is>
          <t>DEPL-04</t>
        </is>
      </c>
      <c r="B124" s="19" t="inlineStr">
        <is>
          <t>DEPL</t>
        </is>
      </c>
      <c r="C124" s="19" t="inlineStr">
        <is>
          <t>Sites de déplacés appuyés en PCI/WASH</t>
        </is>
      </c>
      <c r="D124" s="19" t="inlineStr">
        <is>
          <t># of IDP sites supported with IPC/WASH inputs</t>
        </is>
      </c>
      <c r="E124" s="19" t="inlineStr">
        <is>
          <t>Nombre</t>
        </is>
      </c>
      <c r="F124" s="19" t="inlineStr">
        <is>
          <t>Tier 2</t>
        </is>
      </c>
      <c r="G124" s="19" t="inlineStr">
        <is>
          <t>Sites de déplacés appuyés en PCI/WASH</t>
        </is>
      </c>
      <c r="H124" s="19" t="inlineStr">
        <is>
          <t>N/A</t>
        </is>
      </c>
      <c r="I124" s="19" t="inlineStr">
        <is>
          <t>Rapports des sites de déplacés ; Fiche SBC journalière (ODK)</t>
        </is>
      </c>
      <c r="J124" s="19" t="inlineStr">
        <is>
          <t>type_site = Site de déplacés / Camp de réfugiés</t>
        </is>
      </c>
      <c r="K124" s="19" t="inlineStr">
        <is>
          <t>Mensuelle</t>
        </is>
      </c>
      <c r="L124" s="19" t="inlineStr">
        <is>
          <t>Site, sexe</t>
        </is>
      </c>
      <c r="M124" s="1" t="n"/>
      <c r="N124" s="19" t="inlineStr">
        <is>
          <t>250</t>
        </is>
      </c>
      <c r="O124" s="1" t="n"/>
      <c r="P124" s="19" t="n">
        <v>250</v>
      </c>
      <c r="Q124" s="1" t="n"/>
      <c r="R124" s="1" t="n"/>
      <c r="S124" s="1" t="n"/>
      <c r="T124" s="19" t="inlineStr">
        <is>
          <t>nouveau</t>
        </is>
      </c>
      <c r="U124" s="19" t="n">
        <v>2</v>
      </c>
      <c r="V124" s="19" t="inlineStr">
        <is>
          <t>Propre à la Tranche 5 (milieux de déplacement).</t>
        </is>
      </c>
    </row>
    <row r="125">
      <c r="A125" s="19" t="inlineStr">
        <is>
          <t>DEPL-05</t>
        </is>
      </c>
      <c r="B125" s="19" t="inlineStr">
        <is>
          <t>DEPL</t>
        </is>
      </c>
      <c r="C125" s="19" t="inlineStr">
        <is>
          <t>Personnes déplacées et hôtes atteintes par des messages adaptés</t>
        </is>
      </c>
      <c r="D125" s="19" t="inlineStr">
        <is>
          <t># of IDPs and host community members reached</t>
        </is>
      </c>
      <c r="E125" s="19" t="inlineStr">
        <is>
          <t>Nombre</t>
        </is>
      </c>
      <c r="F125" s="19" t="inlineStr">
        <is>
          <t>Tier 2</t>
        </is>
      </c>
      <c r="G125" s="19" t="inlineStr">
        <is>
          <t>Personnes déplacées et hôtes atteintes par des messages adaptés</t>
        </is>
      </c>
      <c r="H125" s="19" t="inlineStr">
        <is>
          <t>N/A</t>
        </is>
      </c>
      <c r="I125" s="19" t="inlineStr">
        <is>
          <t>Rapports des sites de déplacés ; Fiche SBC journalière (ODK)</t>
        </is>
      </c>
      <c r="J125" s="19" t="inlineStr">
        <is>
          <t>type_site = Site de déplacés / Camp de réfugiés</t>
        </is>
      </c>
      <c r="K125" s="19" t="inlineStr">
        <is>
          <t>Mensuelle</t>
        </is>
      </c>
      <c r="L125" s="19" t="inlineStr">
        <is>
          <t>Site, sexe</t>
        </is>
      </c>
      <c r="M125" s="1" t="n"/>
      <c r="N125" s="19" t="inlineStr">
        <is>
          <t>500 000</t>
        </is>
      </c>
      <c r="O125" s="1" t="n"/>
      <c r="P125" s="19" t="n">
        <v>500000</v>
      </c>
      <c r="Q125" s="1" t="n"/>
      <c r="R125" s="1" t="n"/>
      <c r="S125" s="1" t="n"/>
      <c r="T125" s="19" t="inlineStr">
        <is>
          <t>nouveau</t>
        </is>
      </c>
      <c r="U125" s="19" t="n">
        <v>2</v>
      </c>
      <c r="V125" s="19" t="inlineStr">
        <is>
          <t>Propre à la Tranche 5 (milieux de déplacement).</t>
        </is>
      </c>
    </row>
    <row r="126">
      <c r="A126" s="19" t="inlineStr">
        <is>
          <t>DEPL-06</t>
        </is>
      </c>
      <c r="B126" s="19" t="inlineStr">
        <is>
          <t>DEPL</t>
        </is>
      </c>
      <c r="C126" s="19" t="inlineStr">
        <is>
          <t>Références coordonnées et suivies en milieu de déplacement</t>
        </is>
      </c>
      <c r="D126" s="19" t="inlineStr">
        <is>
          <t># of referrals coordinated in displacement settings</t>
        </is>
      </c>
      <c r="E126" s="19" t="inlineStr">
        <is>
          <t>Nombre</t>
        </is>
      </c>
      <c r="F126" s="19" t="inlineStr">
        <is>
          <t>Tier 2</t>
        </is>
      </c>
      <c r="G126" s="19" t="inlineStr">
        <is>
          <t>Références coordonnées et suivies en milieu de déplacement</t>
        </is>
      </c>
      <c r="H126" s="19" t="inlineStr">
        <is>
          <t>N/A</t>
        </is>
      </c>
      <c r="I126" s="19" t="inlineStr">
        <is>
          <t>Rapports des sites de déplacés ; Fiche SBC journalière (ODK)</t>
        </is>
      </c>
      <c r="J126" s="19" t="inlineStr">
        <is>
          <t>type_site = Site de déplacés / Camp de réfugiés</t>
        </is>
      </c>
      <c r="K126" s="19" t="inlineStr">
        <is>
          <t>Mensuelle</t>
        </is>
      </c>
      <c r="L126" s="19" t="inlineStr">
        <is>
          <t>Site, sexe</t>
        </is>
      </c>
      <c r="M126" s="1" t="n"/>
      <c r="N126" s="19" t="inlineStr">
        <is>
          <t>5 000</t>
        </is>
      </c>
      <c r="O126" s="1" t="n"/>
      <c r="P126" s="19" t="n">
        <v>5000</v>
      </c>
      <c r="Q126" s="1" t="n"/>
      <c r="R126" s="1" t="n"/>
      <c r="S126" s="1" t="n"/>
      <c r="T126" s="19" t="inlineStr">
        <is>
          <t>nouveau</t>
        </is>
      </c>
      <c r="U126" s="19" t="n">
        <v>2</v>
      </c>
      <c r="V126" s="19" t="inlineStr">
        <is>
          <t>Propre à la Tranche 5 (milieux de déplacement).</t>
        </is>
      </c>
    </row>
    <row r="127">
      <c r="A127" s="19" t="inlineStr">
        <is>
          <t>DEPL-07</t>
        </is>
      </c>
      <c r="B127" s="19" t="inlineStr">
        <is>
          <t>DEPL</t>
        </is>
      </c>
      <c r="C127" s="19" t="inlineStr">
        <is>
          <t>Mécanismes de retour ou points d'aide établis</t>
        </is>
      </c>
      <c r="D127" s="19" t="inlineStr">
        <is>
          <t># of feedback channels or help points established</t>
        </is>
      </c>
      <c r="E127" s="19" t="inlineStr">
        <is>
          <t>Nombre</t>
        </is>
      </c>
      <c r="F127" s="19" t="inlineStr">
        <is>
          <t>Tier 2</t>
        </is>
      </c>
      <c r="G127" s="19" t="inlineStr">
        <is>
          <t>Mécanismes de retour ou points d'aide établis</t>
        </is>
      </c>
      <c r="H127" s="19" t="inlineStr">
        <is>
          <t>N/A</t>
        </is>
      </c>
      <c r="I127" s="19" t="inlineStr">
        <is>
          <t>Rapports des sites de déplacés ; Fiche SBC journalière (ODK)</t>
        </is>
      </c>
      <c r="J127" s="19" t="inlineStr">
        <is>
          <t>type_site = Site de déplacés / Camp de réfugiés</t>
        </is>
      </c>
      <c r="K127" s="19" t="inlineStr">
        <is>
          <t>Mensuelle</t>
        </is>
      </c>
      <c r="L127" s="19" t="inlineStr">
        <is>
          <t>Site, sexe</t>
        </is>
      </c>
      <c r="M127" s="1" t="n"/>
      <c r="N127" s="19" t="inlineStr">
        <is>
          <t>150</t>
        </is>
      </c>
      <c r="O127" s="1" t="n"/>
      <c r="P127" s="19" t="n">
        <v>150</v>
      </c>
      <c r="Q127" s="1" t="n"/>
      <c r="R127" s="1" t="n"/>
      <c r="S127" s="1" t="n"/>
      <c r="T127" s="19" t="inlineStr">
        <is>
          <t>nouveau</t>
        </is>
      </c>
      <c r="U127" s="19" t="n">
        <v>2</v>
      </c>
      <c r="V127" s="19" t="inlineStr">
        <is>
          <t>Propre à la Tranche 5 (milieux de déplacement).</t>
        </is>
      </c>
    </row>
    <row r="128">
      <c r="A128" s="19" t="inlineStr">
        <is>
          <t>CREC-20</t>
        </is>
      </c>
      <c r="B128" s="19" t="inlineStr">
        <is>
          <t>CREC</t>
        </is>
      </c>
      <c r="C128" s="19" t="inlineStr">
        <is>
          <t>Activités de réduction de la stigmatisation et témoignages de guéris</t>
        </is>
      </c>
      <c r="D128" s="19" t="inlineStr">
        <is>
          <t># of stigma-reduction sessions and survivor testimony events</t>
        </is>
      </c>
      <c r="E128" s="19" t="inlineStr">
        <is>
          <t>Nombre</t>
        </is>
      </c>
      <c r="F128" s="19" t="inlineStr">
        <is>
          <t>Tier 2</t>
        </is>
      </c>
      <c r="G128" s="19" t="inlineStr">
        <is>
          <t>Activités</t>
        </is>
      </c>
      <c r="H128" s="19" t="inlineStr">
        <is>
          <t>N/A</t>
        </is>
      </c>
      <c r="I128" s="19" t="inlineStr">
        <is>
          <t>Rapports CREC</t>
        </is>
      </c>
      <c r="J128" s="1" t="n"/>
      <c r="K128" s="19" t="inlineStr">
        <is>
          <t>Mensuelle</t>
        </is>
      </c>
      <c r="L128" s="19" t="inlineStr">
        <is>
          <t>ZS</t>
        </is>
      </c>
      <c r="M128" s="1" t="n"/>
      <c r="N128" s="19" t="inlineStr">
        <is>
          <t>500</t>
        </is>
      </c>
      <c r="O128" s="1" t="n"/>
      <c r="P128" s="19" t="n">
        <v>500</v>
      </c>
      <c r="Q128" s="1" t="n"/>
      <c r="R128" s="1" t="n"/>
      <c r="S128" s="1" t="n"/>
      <c r="T128" s="19" t="inlineStr">
        <is>
          <t>nouveau</t>
        </is>
      </c>
      <c r="U128" s="19" t="n">
        <v>2</v>
      </c>
      <c r="V128" s="19" t="inlineStr">
        <is>
          <t>Propre à la Tranche 5.</t>
        </is>
      </c>
    </row>
    <row r="129">
      <c r="A129" s="19" t="inlineStr">
        <is>
          <t>CREC-21</t>
        </is>
      </c>
      <c r="B129" s="19" t="inlineStr">
        <is>
          <t>CREC</t>
        </is>
      </c>
      <c r="C129" s="19" t="inlineStr">
        <is>
          <t>Kits de messages remis aux messagers de confiance</t>
        </is>
      </c>
      <c r="D129" s="19" t="inlineStr">
        <is>
          <t># of message kits for trusted messengers</t>
        </is>
      </c>
      <c r="E129" s="19" t="inlineStr">
        <is>
          <t>Nombre</t>
        </is>
      </c>
      <c r="F129" s="19" t="inlineStr">
        <is>
          <t>Tier 2</t>
        </is>
      </c>
      <c r="G129" s="19" t="inlineStr">
        <is>
          <t>Kits remis</t>
        </is>
      </c>
      <c r="H129" s="19" t="inlineStr">
        <is>
          <t>N/A</t>
        </is>
      </c>
      <c r="I129" s="19" t="inlineStr">
        <is>
          <t>Registres de distribution</t>
        </is>
      </c>
      <c r="J129" s="1" t="n"/>
      <c r="K129" s="19" t="inlineStr">
        <is>
          <t>Mensuelle</t>
        </is>
      </c>
      <c r="L129" s="1" t="n"/>
      <c r="M129" s="1" t="n"/>
      <c r="N129" s="19" t="inlineStr">
        <is>
          <t>2 500</t>
        </is>
      </c>
      <c r="O129" s="1" t="n"/>
      <c r="P129" s="19" t="n">
        <v>2500</v>
      </c>
      <c r="Q129" s="1" t="n"/>
      <c r="R129" s="1" t="n"/>
      <c r="S129" s="1" t="n"/>
      <c r="T129" s="19" t="inlineStr">
        <is>
          <t>nouveau</t>
        </is>
      </c>
      <c r="U129" s="19" t="n">
        <v>3</v>
      </c>
      <c r="V129" s="19" t="inlineStr">
        <is>
          <t>Propre à la Tranche 5.</t>
        </is>
      </c>
    </row>
  </sheetData>
  <dataValidations count="5">
    <dataValidation sqref="B2:B5000" showDropDown="0" showInputMessage="0" showErrorMessage="1" allowBlank="1" errorTitle="Valeur non autorisée" error="Choisir une valeur dans la liste (feuille « listes »)." type="list">
      <formula1>=listes!$D$2:$D$7</formula1>
    </dataValidation>
    <dataValidation sqref="E2:E5000" showDropDown="0" showInputMessage="0" showErrorMessage="1" allowBlank="1" errorTitle="Valeur non autorisée" error="Choisir une valeur dans la liste (feuille « listes »)." type="list">
      <formula1>=listes!$E$2:$E$5</formula1>
    </dataValidation>
    <dataValidation sqref="O2:O5000" showDropDown="0" showInputMessage="0" showErrorMessage="1" allowBlank="1" error="Nombre positif ou nul." type="decimal" operator="greaterThanOrEqual">
      <formula1>0</formula1>
    </dataValidation>
    <dataValidation sqref="P2:P5000" showDropDown="0" showInputMessage="0" showErrorMessage="1" allowBlank="1" error="Nombre positif ou nul." type="decimal" operator="greaterThanOrEqual">
      <formula1>0</formula1>
    </dataValidation>
    <dataValidation sqref="T2:T5000" showDropDown="0" showInputMessage="0" showErrorMessage="1" allowBlank="1" errorTitle="Valeur non autorisée" error="Choisir une valeur dans la liste (feuille « listes »)." type="list">
      <formula1>=listes!$F$2:$F$4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tabColor rgb="008EA9DB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2" customWidth="1" min="4" max="4"/>
    <col width="12" customWidth="1" min="5" max="5"/>
  </cols>
  <sheetData>
    <row r="1" ht="30" customHeight="1">
      <c r="A1" s="11" t="inlineStr">
        <is>
          <t>annee</t>
        </is>
      </c>
      <c r="B1" s="11" t="inlineStr">
        <is>
          <t>semaine_iso</t>
        </is>
      </c>
      <c r="C1" s="11" t="inlineStr">
        <is>
          <t>date_debut</t>
        </is>
      </c>
      <c r="D1" s="11" t="inlineStr">
        <is>
          <t>date_fin</t>
        </is>
      </c>
      <c r="E1" s="11" t="inlineStr">
        <is>
          <t>libelle</t>
        </is>
      </c>
    </row>
  </sheetData>
  <dataValidations count="4">
    <dataValidation sqref="A2:A5000" showDropDown="0" showInputMessage="0" showErrorMessage="1" allowBlank="1" error="Nombre entier positif ou nul." type="whole" operator="greaterThanOrEqual">
      <formula1>0</formula1>
    </dataValidation>
    <dataValidation sqref="B2:B5000" showDropDown="0" showInputMessage="0" showErrorMessage="1" allowBlank="1" error="Nombre entier positif ou nul." type="whole" operator="greaterThanOrEqual">
      <formula1>0</formula1>
    </dataValidation>
    <dataValidation sqref="C2:C5000" showDropDown="0" showInputMessage="0" showErrorMessage="1" allowBlank="1" error="Date au format JJ/MM/AAAA." type="date" operator="between">
      <formula1>DATE(2026,1,1)</formula1>
      <formula2>DATE(2030,12,31)</formula2>
    </dataValidation>
    <dataValidation sqref="D2:D5000" showDropDown="0" showInputMessage="0" showErrorMessage="1" allowBlank="1" error="Date au format JJ/MM/AAAA." type="date" operator="between">
      <formula1>DATE(2026,1,1)</formula1>
      <formula2>DATE(2030,12,31)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tabColor rgb="00A6A6A6"/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18" customWidth="1" min="4" max="4"/>
    <col width="13" customWidth="1" min="5" max="5"/>
    <col width="15" customWidth="1" min="6" max="6"/>
    <col width="16" customWidth="1" min="7" max="7"/>
    <col width="23" customWidth="1" min="8" max="8"/>
    <col width="12" customWidth="1" min="9" max="9"/>
    <col width="22" customWidth="1" min="10" max="10"/>
    <col width="24" customWidth="1" min="11" max="11"/>
    <col width="21" customWidth="1" min="12" max="12"/>
    <col width="20" customWidth="1" min="13" max="13"/>
    <col width="28" customWidth="1" min="14" max="14"/>
    <col width="17" customWidth="1" min="15" max="15"/>
    <col width="14" customWidth="1" min="16" max="16"/>
    <col width="20" customWidth="1" min="17" max="17"/>
    <col width="48" customWidth="1" min="18" max="18"/>
    <col width="19" customWidth="1" min="19" max="19"/>
  </cols>
  <sheetData>
    <row r="1" ht="30" customHeight="1">
      <c r="A1" s="11" t="inlineStr">
        <is>
          <t>sitrep_no</t>
        </is>
      </c>
      <c r="B1" s="11" t="inlineStr">
        <is>
          <t>date_rapport</t>
        </is>
      </c>
      <c r="C1" s="11" t="inlineStr">
        <is>
          <t>date_publication</t>
        </is>
      </c>
      <c r="D1" s="11" t="inlineStr">
        <is>
          <t>fichier_source</t>
        </is>
      </c>
      <c r="E1" s="11" t="inlineStr">
        <is>
          <t>cas_cumul</t>
        </is>
      </c>
      <c r="F1" s="11" t="inlineStr">
        <is>
          <t>deces_cumul</t>
        </is>
      </c>
      <c r="G1" s="11" t="inlineStr">
        <is>
          <t>gueris_cumul</t>
        </is>
      </c>
      <c r="H1" s="11" t="inlineStr">
        <is>
          <t>taux_suivi_contacts</t>
        </is>
      </c>
      <c r="I1" s="11" t="inlineStr">
        <is>
          <t>letalite</t>
        </is>
      </c>
      <c r="J1" s="11" t="inlineStr">
        <is>
          <t>patients_isolement</t>
        </is>
      </c>
      <c r="K1" s="11" t="inlineStr">
        <is>
          <t>aires_sante_touchees</t>
        </is>
      </c>
      <c r="L1" s="11" t="inlineStr">
        <is>
          <t>aires_sante_total</t>
        </is>
      </c>
      <c r="M1" s="11" t="inlineStr">
        <is>
          <t>nouveaux_cas_24h</t>
        </is>
      </c>
      <c r="N1" s="11" t="inlineStr">
        <is>
          <t>deces_communautaires_24h</t>
        </is>
      </c>
      <c r="O1" s="11" t="inlineStr">
        <is>
          <t>deces_cte_24h</t>
        </is>
      </c>
      <c r="P1" s="11" t="inlineStr">
        <is>
          <t>gueris_24h</t>
        </is>
      </c>
      <c r="Q1" s="11" t="inlineStr">
        <is>
          <t>echantillons_24h</t>
        </is>
      </c>
      <c r="R1" s="11" t="inlineStr">
        <is>
          <t>faits_saillants</t>
        </is>
      </c>
      <c r="S1" s="11" t="inlineStr">
        <is>
          <t>date_extraction</t>
        </is>
      </c>
    </row>
  </sheetData>
  <dataValidations count="17">
    <dataValidation sqref="A2:A5000" showDropDown="0" showInputMessage="0" showErrorMessage="1" allowBlank="1" error="Nombre entier positif ou nul." type="whole" operator="greaterThanOrEqual">
      <formula1>0</formula1>
    </dataValidation>
    <dataValidation sqref="B2:B5000" showDropDown="0" showInputMessage="0" showErrorMessage="1" allowBlank="1" error="Date au format JJ/MM/AAAA." type="date" operator="between">
      <formula1>DATE(2026,1,1)</formula1>
      <formula2>DATE(2030,12,31)</formula2>
    </dataValidation>
    <dataValidation sqref="C2:C5000" showDropDown="0" showInputMessage="0" showErrorMessage="1" allowBlank="1" error="Date au format JJ/MM/AAAA." type="date" operator="between">
      <formula1>DATE(2026,1,1)</formula1>
      <formula2>DATE(2030,12,31)</formula2>
    </dataValidation>
    <dataValidation sqref="E2:E5000" showDropDown="0" showInputMessage="0" showErrorMessage="1" allowBlank="1" error="Nombre entier positif ou nul." type="whole" operator="greaterThanOrEqual">
      <formula1>0</formula1>
    </dataValidation>
    <dataValidation sqref="F2:F5000" showDropDown="0" showInputMessage="0" showErrorMessage="1" allowBlank="1" error="Nombre entier positif ou nul." type="whole" operator="greaterThanOrEqual">
      <formula1>0</formula1>
    </dataValidation>
    <dataValidation sqref="G2:G5000" showDropDown="0" showInputMessage="0" showErrorMessage="1" allowBlank="1" error="Nombre entier positif ou nul." type="whole" operator="greaterThanOrEqual">
      <formula1>0</formula1>
    </dataValidation>
    <dataValidation sqref="H2:H5000" showDropDown="0" showInputMessage="0" showErrorMessage="1" allowBlank="1" error="Nombre positif ou nul." type="decimal" operator="greaterThanOrEqual">
      <formula1>0</formula1>
    </dataValidation>
    <dataValidation sqref="I2:I5000" showDropDown="0" showInputMessage="0" showErrorMessage="1" allowBlank="1" error="Nombre positif ou nul." type="decimal" operator="greaterThanOrEqual">
      <formula1>0</formula1>
    </dataValidation>
    <dataValidation sqref="J2:J5000" showDropDown="0" showInputMessage="0" showErrorMessage="1" allowBlank="1" error="Nombre entier positif ou nul." type="whole" operator="greaterThanOrEqual">
      <formula1>0</formula1>
    </dataValidation>
    <dataValidation sqref="K2:K5000" showDropDown="0" showInputMessage="0" showErrorMessage="1" allowBlank="1" error="Nombre entier positif ou nul." type="whole" operator="greaterThanOrEqual">
      <formula1>0</formula1>
    </dataValidation>
    <dataValidation sqref="L2:L5000" showDropDown="0" showInputMessage="0" showErrorMessage="1" allowBlank="1" error="Nombre entier positif ou nul." type="whole" operator="greaterThanOrEqual">
      <formula1>0</formula1>
    </dataValidation>
    <dataValidation sqref="M2:M5000" showDropDown="0" showInputMessage="0" showErrorMessage="1" allowBlank="1" error="Nombre entier positif ou nul." type="whole" operator="greaterThanOrEqual">
      <formula1>0</formula1>
    </dataValidation>
    <dataValidation sqref="N2:N5000" showDropDown="0" showInputMessage="0" showErrorMessage="1" allowBlank="1" error="Nombre entier positif ou nul." type="whole" operator="greaterThanOrEqual">
      <formula1>0</formula1>
    </dataValidation>
    <dataValidation sqref="O2:O5000" showDropDown="0" showInputMessage="0" showErrorMessage="1" allowBlank="1" error="Nombre entier positif ou nul." type="whole" operator="greaterThanOrEqual">
      <formula1>0</formula1>
    </dataValidation>
    <dataValidation sqref="P2:P5000" showDropDown="0" showInputMessage="0" showErrorMessage="1" allowBlank="1" error="Nombre entier positif ou nul." type="whole" operator="greaterThanOrEqual">
      <formula1>0</formula1>
    </dataValidation>
    <dataValidation sqref="Q2:Q5000" showDropDown="0" showInputMessage="0" showErrorMessage="1" allowBlank="1" error="Nombre entier positif ou nul." type="whole" operator="greaterThanOrEqual">
      <formula1>0</formula1>
    </dataValidation>
    <dataValidation sqref="S2:S5000" showDropDown="0" showInputMessage="0" showErrorMessage="1" allowBlank="1" error="Date au format JJ/MM/AAAA." type="date" operator="between">
      <formula1>DATE(2026,1,1)</formula1>
      <formula2>DATE(2030,12,31)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tabColor rgb="00A6A6A6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20" customWidth="1" min="4" max="4"/>
    <col width="13" customWidth="1" min="5" max="5"/>
    <col width="15" customWidth="1" min="6" max="6"/>
    <col width="20" customWidth="1" min="7" max="7"/>
    <col width="15" customWidth="1" min="8" max="8"/>
    <col width="12" customWidth="1" min="9" max="9"/>
  </cols>
  <sheetData>
    <row r="1" ht="30" customHeight="1">
      <c r="A1" s="11" t="inlineStr">
        <is>
          <t>sitrep_no</t>
        </is>
      </c>
      <c r="B1" s="11" t="inlineStr">
        <is>
          <t>date_rapport</t>
        </is>
      </c>
      <c r="C1" s="11" t="inlineStr">
        <is>
          <t>province</t>
        </is>
      </c>
      <c r="D1" s="11" t="inlineStr">
        <is>
          <t>nouveaux_cas_24h</t>
        </is>
      </c>
      <c r="E1" s="11" t="inlineStr">
        <is>
          <t>cas_cumul</t>
        </is>
      </c>
      <c r="F1" s="11" t="inlineStr">
        <is>
          <t>deces_cumul</t>
        </is>
      </c>
      <c r="G1" s="11" t="inlineStr">
        <is>
          <t>letalite_publiee</t>
        </is>
      </c>
      <c r="H1" s="11" t="inlineStr">
        <is>
          <t>zs_touchees</t>
        </is>
      </c>
      <c r="I1" s="11" t="inlineStr">
        <is>
          <t>zs_total</t>
        </is>
      </c>
    </row>
  </sheetData>
  <dataValidations count="9">
    <dataValidation sqref="A2:A5000" showDropDown="0" showInputMessage="0" showErrorMessage="1" allowBlank="1" error="Nombre entier positif ou nul." type="whole" operator="greaterThanOrEqual">
      <formula1>0</formula1>
    </dataValidation>
    <dataValidation sqref="B2:B5000" showDropDown="0" showInputMessage="0" showErrorMessage="1" allowBlank="1" error="Date au format JJ/MM/AAAA." type="date" operator="between">
      <formula1>DATE(2026,1,1)</formula1>
      <formula2>DATE(2030,12,31)</formula2>
    </dataValidation>
    <dataValidation sqref="C2:C5000" showDropDown="0" showInputMessage="0" showErrorMessage="1" allowBlank="1" errorTitle="Valeur non autorisée" error="Choisir une valeur dans la liste (feuille « listes »)." type="list">
      <formula1>=listes!$A$2:$A$8</formula1>
    </dataValidation>
    <dataValidation sqref="D2:D5000" showDropDown="0" showInputMessage="0" showErrorMessage="1" allowBlank="1" error="Nombre entier positif ou nul." type="whole" operator="greaterThanOrEqual">
      <formula1>0</formula1>
    </dataValidation>
    <dataValidation sqref="E2:E5000" showDropDown="0" showInputMessage="0" showErrorMessage="1" allowBlank="1" error="Nombre entier positif ou nul." type="whole" operator="greaterThanOrEqual">
      <formula1>0</formula1>
    </dataValidation>
    <dataValidation sqref="F2:F5000" showDropDown="0" showInputMessage="0" showErrorMessage="1" allowBlank="1" error="Nombre entier positif ou nul." type="whole" operator="greaterThanOrEqual">
      <formula1>0</formula1>
    </dataValidation>
    <dataValidation sqref="G2:G5000" showDropDown="0" showInputMessage="0" showErrorMessage="1" allowBlank="1" error="Nombre positif ou nul." type="decimal" operator="greaterThanOrEqual">
      <formula1>0</formula1>
    </dataValidation>
    <dataValidation sqref="H2:H5000" showDropDown="0" showInputMessage="0" showErrorMessage="1" allowBlank="1" error="Nombre entier positif ou nul." type="whole" operator="greaterThanOrEqual">
      <formula1>0</formula1>
    </dataValidation>
    <dataValidation sqref="I2:I5000" showDropDown="0" showInputMessage="0" showErrorMessage="1" allowBlank="1" error="Nombre entier positif ou nul." type="whole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tabColor rgb="00A6A6A6"/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14" customWidth="1" min="4" max="4"/>
    <col width="13" customWidth="1" min="5" max="5"/>
    <col width="15" customWidth="1" min="6" max="6"/>
    <col width="20" customWidth="1" min="7" max="7"/>
    <col width="20" customWidth="1" min="8" max="8"/>
    <col width="28" customWidth="1" min="9" max="9"/>
    <col width="17" customWidth="1" min="10" max="10"/>
    <col width="19" customWidth="1" min="11" max="11"/>
    <col width="18" customWidth="1" min="12" max="12"/>
  </cols>
  <sheetData>
    <row r="1" ht="30" customHeight="1">
      <c r="A1" s="11" t="inlineStr">
        <is>
          <t>sitrep_no</t>
        </is>
      </c>
      <c r="B1" s="11" t="inlineStr">
        <is>
          <t>date_rapport</t>
        </is>
      </c>
      <c r="C1" s="11" t="inlineStr">
        <is>
          <t>province</t>
        </is>
      </c>
      <c r="D1" s="11" t="inlineStr">
        <is>
          <t>zone_sante</t>
        </is>
      </c>
      <c r="E1" s="11" t="inlineStr">
        <is>
          <t>cas_cumul</t>
        </is>
      </c>
      <c r="F1" s="11" t="inlineStr">
        <is>
          <t>deces_cumul</t>
        </is>
      </c>
      <c r="G1" s="11" t="inlineStr">
        <is>
          <t>letalite_publiee</t>
        </is>
      </c>
      <c r="H1" s="11" t="inlineStr">
        <is>
          <t>nouveaux_cas_24h</t>
        </is>
      </c>
      <c r="I1" s="11" t="inlineStr">
        <is>
          <t>deces_communautaires_24h</t>
        </is>
      </c>
      <c r="J1" s="11" t="inlineStr">
        <is>
          <t>deces_cte_24h</t>
        </is>
      </c>
      <c r="K1" s="11" t="inlineStr">
        <is>
          <t>deces_total_24h</t>
        </is>
      </c>
      <c r="L1" s="11" t="inlineStr">
        <is>
          <t>est_a_ventiler</t>
        </is>
      </c>
    </row>
  </sheetData>
  <dataValidations count="11">
    <dataValidation sqref="A2:A5000" showDropDown="0" showInputMessage="0" showErrorMessage="1" allowBlank="1" error="Nombre entier positif ou nul." type="whole" operator="greaterThanOrEqual">
      <formula1>0</formula1>
    </dataValidation>
    <dataValidation sqref="B2:B5000" showDropDown="0" showInputMessage="0" showErrorMessage="1" allowBlank="1" error="Date au format JJ/MM/AAAA." type="date" operator="between">
      <formula1>DATE(2026,1,1)</formula1>
      <formula2>DATE(2030,12,31)</formula2>
    </dataValidation>
    <dataValidation sqref="C2:C5000" showDropDown="0" showInputMessage="0" showErrorMessage="1" allowBlank="1" errorTitle="Valeur non autorisée" error="Choisir une valeur dans la liste (feuille « listes »)." type="list">
      <formula1>=listes!$A$2:$A$8</formula1>
    </dataValidation>
    <dataValidation sqref="D2:D5000" showDropDown="0" showInputMessage="0" showErrorMessage="0" allowBlank="1" type="list">
      <formula1>=ref_zones!$B$2:$B$600</formula1>
    </dataValidation>
    <dataValidation sqref="E2:E5000" showDropDown="0" showInputMessage="0" showErrorMessage="1" allowBlank="1" error="Nombre entier positif ou nul." type="whole" operator="greaterThanOrEqual">
      <formula1>0</formula1>
    </dataValidation>
    <dataValidation sqref="F2:F5000" showDropDown="0" showInputMessage="0" showErrorMessage="1" allowBlank="1" error="Nombre entier positif ou nul." type="whole" operator="greaterThanOrEqual">
      <formula1>0</formula1>
    </dataValidation>
    <dataValidation sqref="G2:G5000" showDropDown="0" showInputMessage="0" showErrorMessage="1" allowBlank="1" error="Nombre positif ou nul." type="decimal" operator="greaterThanOrEqual">
      <formula1>0</formula1>
    </dataValidation>
    <dataValidation sqref="H2:H5000" showDropDown="0" showInputMessage="0" showErrorMessage="1" allowBlank="1" error="Nombre entier positif ou nul." type="whole" operator="greaterThanOrEqual">
      <formula1>0</formula1>
    </dataValidation>
    <dataValidation sqref="I2:I5000" showDropDown="0" showInputMessage="0" showErrorMessage="1" allowBlank="1" error="Nombre entier positif ou nul." type="whole" operator="greaterThanOrEqual">
      <formula1>0</formula1>
    </dataValidation>
    <dataValidation sqref="J2:J5000" showDropDown="0" showInputMessage="0" showErrorMessage="1" allowBlank="1" error="Nombre entier positif ou nul." type="whole" operator="greaterThanOrEqual">
      <formula1>0</formula1>
    </dataValidation>
    <dataValidation sqref="K2:K5000" showDropDown="0" showInputMessage="0" showErrorMessage="1" allowBlank="1" error="Nombre entier positif ou nul." type="whole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tabColor rgb="00A6A6A6"/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18" customWidth="1" min="4" max="4"/>
    <col width="18" customWidth="1" min="5" max="5"/>
    <col width="16" customWidth="1" min="6" max="6"/>
    <col width="16" customWidth="1" min="7" max="7"/>
    <col width="20" customWidth="1" min="8" max="8"/>
    <col width="18" customWidth="1" min="9" max="9"/>
    <col width="22" customWidth="1" min="10" max="10"/>
    <col width="20" customWidth="1" min="11" max="11"/>
    <col width="24" customWidth="1" min="12" max="12"/>
    <col width="23" customWidth="1" min="13" max="13"/>
  </cols>
  <sheetData>
    <row r="1" ht="30" customHeight="1">
      <c r="A1" s="11" t="inlineStr">
        <is>
          <t>sitrep_no</t>
        </is>
      </c>
      <c r="B1" s="11" t="inlineStr">
        <is>
          <t>date_rapport</t>
        </is>
      </c>
      <c r="C1" s="11" t="inlineStr">
        <is>
          <t>province</t>
        </is>
      </c>
      <c r="D1" s="11" t="inlineStr">
        <is>
          <t>statut_donnees</t>
        </is>
      </c>
      <c r="E1" s="11" t="inlineStr">
        <is>
          <t>recues_vivants</t>
        </is>
      </c>
      <c r="F1" s="11" t="inlineStr">
        <is>
          <t>recues_deces</t>
        </is>
      </c>
      <c r="G1" s="11" t="inlineStr">
        <is>
          <t>recues_total</t>
        </is>
      </c>
      <c r="H1" s="11" t="inlineStr">
        <is>
          <t>validees_vivants</t>
        </is>
      </c>
      <c r="I1" s="11" t="inlineStr">
        <is>
          <t>validees_deces</t>
        </is>
      </c>
      <c r="J1" s="11" t="inlineStr">
        <is>
          <t>invalidees_vivants</t>
        </is>
      </c>
      <c r="K1" s="11" t="inlineStr">
        <is>
          <t>invalidees_deces</t>
        </is>
      </c>
      <c r="L1" s="11" t="inlineStr">
        <is>
          <t>suspects_investigues</t>
        </is>
      </c>
      <c r="M1" s="11" t="inlineStr">
        <is>
          <t>suspects_transferes</t>
        </is>
      </c>
    </row>
  </sheetData>
  <dataValidations count="13">
    <dataValidation sqref="A2:A5000" showDropDown="0" showInputMessage="0" showErrorMessage="1" allowBlank="1" error="Nombre entier positif ou nul." type="whole" operator="greaterThanOrEqual">
      <formula1>0</formula1>
    </dataValidation>
    <dataValidation sqref="B2:B5000" showDropDown="0" showInputMessage="0" showErrorMessage="1" allowBlank="1" error="Date au format JJ/MM/AAAA." type="date" operator="between">
      <formula1>DATE(2026,1,1)</formula1>
      <formula2>DATE(2030,12,31)</formula2>
    </dataValidation>
    <dataValidation sqref="C2:C5000" showDropDown="0" showInputMessage="0" showErrorMessage="1" allowBlank="1" errorTitle="Valeur non autorisée" error="Choisir une valeur dans la liste (feuille « listes »)." type="list">
      <formula1>=listes!$A$2:$A$8</formula1>
    </dataValidation>
    <dataValidation sqref="D2:D5000" showDropDown="0" showInputMessage="0" showErrorMessage="1" allowBlank="1" errorTitle="Valeur non autorisée" error="Choisir une valeur dans la liste (feuille « listes »)." type="list">
      <formula1>=listes!$G$2:$G$3</formula1>
    </dataValidation>
    <dataValidation sqref="E2:E5000" showDropDown="0" showInputMessage="0" showErrorMessage="1" allowBlank="1" error="Nombre entier positif ou nul." type="whole" operator="greaterThanOrEqual">
      <formula1>0</formula1>
    </dataValidation>
    <dataValidation sqref="F2:F5000" showDropDown="0" showInputMessage="0" showErrorMessage="1" allowBlank="1" error="Nombre entier positif ou nul." type="whole" operator="greaterThanOrEqual">
      <formula1>0</formula1>
    </dataValidation>
    <dataValidation sqref="G2:G5000" showDropDown="0" showInputMessage="0" showErrorMessage="1" allowBlank="1" error="Nombre entier positif ou nul." type="whole" operator="greaterThanOrEqual">
      <formula1>0</formula1>
    </dataValidation>
    <dataValidation sqref="H2:H5000" showDropDown="0" showInputMessage="0" showErrorMessage="1" allowBlank="1" error="Nombre entier positif ou nul." type="whole" operator="greaterThanOrEqual">
      <formula1>0</formula1>
    </dataValidation>
    <dataValidation sqref="I2:I5000" showDropDown="0" showInputMessage="0" showErrorMessage="1" allowBlank="1" error="Nombre entier positif ou nul." type="whole" operator="greaterThanOrEqual">
      <formula1>0</formula1>
    </dataValidation>
    <dataValidation sqref="J2:J5000" showDropDown="0" showInputMessage="0" showErrorMessage="1" allowBlank="1" error="Nombre entier positif ou nul." type="whole" operator="greaterThanOrEqual">
      <formula1>0</formula1>
    </dataValidation>
    <dataValidation sqref="K2:K5000" showDropDown="0" showInputMessage="0" showErrorMessage="1" allowBlank="1" error="Nombre entier positif ou nul." type="whole" operator="greaterThanOrEqual">
      <formula1>0</formula1>
    </dataValidation>
    <dataValidation sqref="L2:L5000" showDropDown="0" showInputMessage="0" showErrorMessage="1" allowBlank="1" error="Nombre entier positif ou nul." type="whole" operator="greaterThanOrEqual">
      <formula1>0</formula1>
    </dataValidation>
    <dataValidation sqref="M2:M5000" showDropDown="0" showInputMessage="0" showErrorMessage="1" allowBlank="1" error="Nombre entier positif ou nul." type="whole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tabColor rgb="00A6A6A6"/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18" customWidth="1" min="4" max="4"/>
    <col width="19" customWidth="1" min="5" max="5"/>
    <col width="16" customWidth="1" min="6" max="6"/>
    <col width="15" customWidth="1" min="7" max="7"/>
  </cols>
  <sheetData>
    <row r="1" ht="30" customHeight="1">
      <c r="A1" s="11" t="inlineStr">
        <is>
          <t>sitrep_no</t>
        </is>
      </c>
      <c r="B1" s="11" t="inlineStr">
        <is>
          <t>date_rapport</t>
        </is>
      </c>
      <c r="C1" s="11" t="inlineStr">
        <is>
          <t>province</t>
        </is>
      </c>
      <c r="D1" s="11" t="inlineStr">
        <is>
          <t>statut_donnees</t>
        </is>
      </c>
      <c r="E1" s="11" t="inlineStr">
        <is>
          <t>contacts_suivis</t>
        </is>
      </c>
      <c r="F1" s="11" t="inlineStr">
        <is>
          <t>contacts_vus</t>
        </is>
      </c>
      <c r="G1" s="11" t="inlineStr">
        <is>
          <t>taux_publie</t>
        </is>
      </c>
    </row>
  </sheetData>
  <dataValidations count="7">
    <dataValidation sqref="A2:A5000" showDropDown="0" showInputMessage="0" showErrorMessage="1" allowBlank="1" error="Nombre entier positif ou nul." type="whole" operator="greaterThanOrEqual">
      <formula1>0</formula1>
    </dataValidation>
    <dataValidation sqref="B2:B5000" showDropDown="0" showInputMessage="0" showErrorMessage="1" allowBlank="1" error="Date au format JJ/MM/AAAA." type="date" operator="between">
      <formula1>DATE(2026,1,1)</formula1>
      <formula2>DATE(2030,12,31)</formula2>
    </dataValidation>
    <dataValidation sqref="C2:C5000" showDropDown="0" showInputMessage="0" showErrorMessage="1" allowBlank="1" errorTitle="Valeur non autorisée" error="Choisir une valeur dans la liste (feuille « listes »)." type="list">
      <formula1>=listes!$A$2:$A$8</formula1>
    </dataValidation>
    <dataValidation sqref="D2:D5000" showDropDown="0" showInputMessage="0" showErrorMessage="1" allowBlank="1" errorTitle="Valeur non autorisée" error="Choisir une valeur dans la liste (feuille « listes »)." type="list">
      <formula1>=listes!$G$2:$G$3</formula1>
    </dataValidation>
    <dataValidation sqref="E2:E5000" showDropDown="0" showInputMessage="0" showErrorMessage="1" allowBlank="1" error="Nombre entier positif ou nul." type="whole" operator="greaterThanOrEqual">
      <formula1>0</formula1>
    </dataValidation>
    <dataValidation sqref="F2:F5000" showDropDown="0" showInputMessage="0" showErrorMessage="1" allowBlank="1" error="Nombre entier positif ou nul." type="whole" operator="greaterThanOrEqual">
      <formula1>0</formula1>
    </dataValidation>
    <dataValidation sqref="G2:G5000" showDropDown="0" showInputMessage="0" showErrorMessage="1" allowBlank="1" error="Nombre positif ou nul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tabColor rgb="00A6A6A6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16" customWidth="1" min="4" max="4"/>
    <col width="12" customWidth="1" min="5" max="5"/>
    <col width="20" customWidth="1" min="6" max="6"/>
    <col width="18" customWidth="1" min="7" max="7"/>
    <col width="22" customWidth="1" min="8" max="8"/>
    <col width="16" customWidth="1" min="9" max="9"/>
  </cols>
  <sheetData>
    <row r="1" ht="30" customHeight="1">
      <c r="A1" s="11" t="inlineStr">
        <is>
          <t>sitrep_no</t>
        </is>
      </c>
      <c r="B1" s="11" t="inlineStr">
        <is>
          <t>date_rapport</t>
        </is>
      </c>
      <c r="C1" s="11" t="inlineStr">
        <is>
          <t>province</t>
        </is>
      </c>
      <c r="D1" s="11" t="inlineStr">
        <is>
          <t>echantillons</t>
        </is>
      </c>
      <c r="E1" s="11" t="inlineStr">
        <is>
          <t>positifs</t>
        </is>
      </c>
      <c r="F1" s="11" t="inlineStr">
        <is>
          <t>positifs_vivants</t>
        </is>
      </c>
      <c r="G1" s="11" t="inlineStr">
        <is>
          <t>positifs_deces</t>
        </is>
      </c>
      <c r="H1" s="11" t="inlineStr">
        <is>
          <t>positivite_publiee</t>
        </is>
      </c>
      <c r="I1" s="11" t="inlineStr">
        <is>
          <t>texte_source</t>
        </is>
      </c>
    </row>
  </sheetData>
  <dataValidations count="8">
    <dataValidation sqref="A2:A5000" showDropDown="0" showInputMessage="0" showErrorMessage="1" allowBlank="1" error="Nombre entier positif ou nul." type="whole" operator="greaterThanOrEqual">
      <formula1>0</formula1>
    </dataValidation>
    <dataValidation sqref="B2:B5000" showDropDown="0" showInputMessage="0" showErrorMessage="1" allowBlank="1" error="Date au format JJ/MM/AAAA." type="date" operator="between">
      <formula1>DATE(2026,1,1)</formula1>
      <formula2>DATE(2030,12,31)</formula2>
    </dataValidation>
    <dataValidation sqref="C2:C5000" showDropDown="0" showInputMessage="0" showErrorMessage="1" allowBlank="1" errorTitle="Valeur non autorisée" error="Choisir une valeur dans la liste (feuille « listes »)." type="list">
      <formula1>=listes!$A$2:$A$8</formula1>
    </dataValidation>
    <dataValidation sqref="D2:D5000" showDropDown="0" showInputMessage="0" showErrorMessage="1" allowBlank="1" error="Nombre entier positif ou nul." type="whole" operator="greaterThanOrEqual">
      <formula1>0</formula1>
    </dataValidation>
    <dataValidation sqref="E2:E5000" showDropDown="0" showInputMessage="0" showErrorMessage="1" allowBlank="1" error="Nombre entier positif ou nul." type="whole" operator="greaterThanOrEqual">
      <formula1>0</formula1>
    </dataValidation>
    <dataValidation sqref="F2:F5000" showDropDown="0" showInputMessage="0" showErrorMessage="1" allowBlank="1" error="Nombre entier positif ou nul." type="whole" operator="greaterThanOrEqual">
      <formula1>0</formula1>
    </dataValidation>
    <dataValidation sqref="G2:G5000" showDropDown="0" showInputMessage="0" showErrorMessage="1" allowBlank="1" error="Nombre entier positif ou nul." type="whole" operator="greaterThanOrEqual">
      <formula1>0</formula1>
    </dataValidation>
    <dataValidation sqref="H2:H5000" showDropDown="0" showInputMessage="0" showErrorMessage="1" allowBlank="1" error="Nombre positif ou nul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tabColor rgb="00A6A6A6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14" customWidth="1" min="4" max="4"/>
    <col width="12" customWidth="1" min="5" max="5"/>
    <col width="13" customWidth="1" min="6" max="6"/>
    <col width="22" customWidth="1" min="7" max="7"/>
    <col width="16" customWidth="1" min="8" max="8"/>
  </cols>
  <sheetData>
    <row r="1" ht="30" customHeight="1">
      <c r="A1" s="11" t="inlineStr">
        <is>
          <t>sitrep_no</t>
        </is>
      </c>
      <c r="B1" s="11" t="inlineStr">
        <is>
          <t>date_rapport</t>
        </is>
      </c>
      <c r="C1" s="11" t="inlineStr">
        <is>
          <t>province</t>
        </is>
      </c>
      <c r="D1" s="11" t="inlineStr">
        <is>
          <t>admissions</t>
        </is>
      </c>
      <c r="E1" s="11" t="inlineStr">
        <is>
          <t>sorties</t>
        </is>
      </c>
      <c r="F1" s="11" t="inlineStr">
        <is>
          <t>guerisons</t>
        </is>
      </c>
      <c r="G1" s="11" t="inlineStr">
        <is>
          <t>patients_isolement</t>
        </is>
      </c>
      <c r="H1" s="11" t="inlineStr">
        <is>
          <t>texte_source</t>
        </is>
      </c>
    </row>
  </sheetData>
  <dataValidations count="7">
    <dataValidation sqref="A2:A5000" showDropDown="0" showInputMessage="0" showErrorMessage="1" allowBlank="1" error="Nombre entier positif ou nul." type="whole" operator="greaterThanOrEqual">
      <formula1>0</formula1>
    </dataValidation>
    <dataValidation sqref="B2:B5000" showDropDown="0" showInputMessage="0" showErrorMessage="1" allowBlank="1" error="Date au format JJ/MM/AAAA." type="date" operator="between">
      <formula1>DATE(2026,1,1)</formula1>
      <formula2>DATE(2030,12,31)</formula2>
    </dataValidation>
    <dataValidation sqref="C2:C5000" showDropDown="0" showInputMessage="0" showErrorMessage="1" allowBlank="1" errorTitle="Valeur non autorisée" error="Choisir une valeur dans la liste (feuille « listes »)." type="list">
      <formula1>=listes!$A$2:$A$8</formula1>
    </dataValidation>
    <dataValidation sqref="D2:D5000" showDropDown="0" showInputMessage="0" showErrorMessage="1" allowBlank="1" error="Nombre entier positif ou nul." type="whole" operator="greaterThanOrEqual">
      <formula1>0</formula1>
    </dataValidation>
    <dataValidation sqref="E2:E5000" showDropDown="0" showInputMessage="0" showErrorMessage="1" allowBlank="1" error="Nombre entier positif ou nul." type="whole" operator="greaterThanOrEqual">
      <formula1>0</formula1>
    </dataValidation>
    <dataValidation sqref="F2:F5000" showDropDown="0" showInputMessage="0" showErrorMessage="1" allowBlank="1" error="Nombre entier positif ou nul." type="whole" operator="greaterThanOrEqual">
      <formula1>0</formula1>
    </dataValidation>
    <dataValidation sqref="G2:G5000" showDropDown="0" showInputMessage="0" showErrorMessage="1" allowBlank="1" error="Nombre entier positif ou nul." type="whole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tabColor rgb="00A6A6A6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4" customWidth="1" min="3" max="3"/>
    <col width="12" customWidth="1" min="4" max="4"/>
    <col width="16" customWidth="1" min="5" max="5"/>
    <col width="12" customWidth="1" min="6" max="6"/>
    <col width="14" customWidth="1" min="7" max="7"/>
    <col width="16" customWidth="1" min="8" max="8"/>
  </cols>
  <sheetData>
    <row r="1" ht="30" customHeight="1">
      <c r="A1" s="11" t="inlineStr">
        <is>
          <t>sitrep_no</t>
        </is>
      </c>
      <c r="B1" s="11" t="inlineStr">
        <is>
          <t>date_rapport</t>
        </is>
      </c>
      <c r="C1" s="11" t="inlineStr">
        <is>
          <t>indicateur</t>
        </is>
      </c>
      <c r="D1" s="11" t="inlineStr">
        <is>
          <t>province</t>
        </is>
      </c>
      <c r="E1" s="11" t="inlineStr">
        <is>
          <t>valeur_texte</t>
        </is>
      </c>
      <c r="F1" s="11" t="inlineStr">
        <is>
          <t>valeur</t>
        </is>
      </c>
      <c r="G1" s="11" t="inlineStr">
        <is>
          <t>numerateur</t>
        </is>
      </c>
      <c r="H1" s="11" t="inlineStr">
        <is>
          <t>denominateur</t>
        </is>
      </c>
    </row>
  </sheetData>
  <dataValidations count="5">
    <dataValidation sqref="A2:A5000" showDropDown="0" showInputMessage="0" showErrorMessage="1" allowBlank="1" error="Nombre entier positif ou nul." type="whole" operator="greaterThanOrEqual">
      <formula1>0</formula1>
    </dataValidation>
    <dataValidation sqref="B2:B5000" showDropDown="0" showInputMessage="0" showErrorMessage="1" allowBlank="1" error="Date au format JJ/MM/AAAA." type="date" operator="between">
      <formula1>DATE(2026,1,1)</formula1>
      <formula2>DATE(2030,12,31)</formula2>
    </dataValidation>
    <dataValidation sqref="F2:F5000" showDropDown="0" showInputMessage="0" showErrorMessage="1" allowBlank="1" error="Nombre positif ou nul." type="decimal" operator="greaterThanOrEqual">
      <formula1>0</formula1>
    </dataValidation>
    <dataValidation sqref="G2:G5000" showDropDown="0" showInputMessage="0" showErrorMessage="1" allowBlank="1" error="Nombre positif ou nul." type="decimal" operator="greaterThanOrEqual">
      <formula1>0</formula1>
    </dataValidation>
    <dataValidation sqref="H2:H5000" showDropDown="0" showInputMessage="0" showErrorMessage="1" allowBlank="1" error="Nombre positif ou nul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tabColor rgb="00A6A6A6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6" customWidth="1" min="4" max="4"/>
    <col width="48" customWidth="1" min="5" max="5"/>
  </cols>
  <sheetData>
    <row r="1" ht="30" customHeight="1">
      <c r="A1" s="11" t="inlineStr">
        <is>
          <t>sitrep_no</t>
        </is>
      </c>
      <c r="B1" s="11" t="inlineStr">
        <is>
          <t>ordre</t>
        </is>
      </c>
      <c r="C1" s="11" t="inlineStr">
        <is>
          <t>section</t>
        </is>
      </c>
      <c r="D1" s="11" t="inlineStr">
        <is>
          <t>sous_section</t>
        </is>
      </c>
      <c r="E1" s="11" t="inlineStr">
        <is>
          <t>texte</t>
        </is>
      </c>
    </row>
  </sheetData>
  <dataValidations count="2">
    <dataValidation sqref="A2:A5000" showDropDown="0" showInputMessage="0" showErrorMessage="1" allowBlank="1" error="Nombre entier positif ou nul." type="whole" operator="greaterThanOrEqual">
      <formula1>0</formula1>
    </dataValidation>
    <dataValidation sqref="B2:B5000" showDropDown="0" showInputMessage="0" showErrorMessage="1" allowBlank="1" error="Nombre entier positif ou nul." type="whole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tabColor rgb="00A6A6A6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4" customWidth="1" min="4" max="4"/>
    <col width="12" customWidth="1" min="5" max="5"/>
    <col width="48" customWidth="1" min="6" max="6"/>
  </cols>
  <sheetData>
    <row r="1" ht="30" customHeight="1">
      <c r="A1" s="11" t="inlineStr">
        <is>
          <t>date_reference</t>
        </is>
      </c>
      <c r="B1" s="11" t="inlineStr">
        <is>
          <t>source</t>
        </is>
      </c>
      <c r="C1" s="11" t="inlineStr">
        <is>
          <t>territoire</t>
        </is>
      </c>
      <c r="D1" s="11" t="inlineStr">
        <is>
          <t>indicateur</t>
        </is>
      </c>
      <c r="E1" s="11" t="inlineStr">
        <is>
          <t>valeur</t>
        </is>
      </c>
      <c r="F1" s="11" t="inlineStr">
        <is>
          <t>commentaire</t>
        </is>
      </c>
    </row>
  </sheetData>
  <dataValidations count="2">
    <dataValidation sqref="A2:A5000" showDropDown="0" showInputMessage="0" showErrorMessage="1" allowBlank="1" error="Date au format JJ/MM/AAAA." type="date" operator="between">
      <formula1>DATE(2026,1,1)</formula1>
      <formula2>DATE(2030,12,31)</formula2>
    </dataValidation>
    <dataValidation sqref="E2:E5000" showDropDown="0" showInputMessage="0" showErrorMessage="1" allowBlank="1" error="Nombre positif ou nul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tabColor rgb="00A6A6A6"/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8" customWidth="1" min="5" max="5"/>
    <col width="12" customWidth="1" min="6" max="6"/>
    <col width="12" customWidth="1" min="7" max="7"/>
    <col width="12" customWidth="1" min="8" max="8"/>
    <col width="18" customWidth="1" min="9" max="9"/>
    <col width="22" customWidth="1" min="10" max="10"/>
    <col width="29" customWidth="1" min="11" max="11"/>
    <col width="21" customWidth="1" min="12" max="12"/>
    <col width="12" customWidth="1" min="13" max="13"/>
  </cols>
  <sheetData>
    <row r="1" ht="30" customHeight="1">
      <c r="A1" s="11" t="inlineStr">
        <is>
          <t>annee</t>
        </is>
      </c>
      <c r="B1" s="11" t="inlineStr">
        <is>
          <t>semaine_epi</t>
        </is>
      </c>
      <c r="C1" s="11" t="inlineStr">
        <is>
          <t>province</t>
        </is>
      </c>
      <c r="D1" s="11" t="inlineStr">
        <is>
          <t>maladie</t>
        </is>
      </c>
      <c r="E1" s="11" t="inlineStr">
        <is>
          <t>zs_notifiantes</t>
        </is>
      </c>
      <c r="F1" s="11" t="inlineStr">
        <is>
          <t>zs_total</t>
        </is>
      </c>
      <c r="G1" s="11" t="inlineStr">
        <is>
          <t>cas</t>
        </is>
      </c>
      <c r="H1" s="11" t="inlineStr">
        <is>
          <t>deces</t>
        </is>
      </c>
      <c r="I1" s="11" t="inlineStr">
        <is>
          <t>zs_en_epidemie</t>
        </is>
      </c>
      <c r="J1" s="11" t="inlineStr">
        <is>
          <t>zs_cgpp_concernees</t>
        </is>
      </c>
      <c r="K1" s="11" t="inlineStr">
        <is>
          <t>cas_suspects_referes_cgpp</t>
        </is>
      </c>
      <c r="L1" s="11" t="inlineStr">
        <is>
          <t>detail_references</t>
        </is>
      </c>
      <c r="M1" s="11" t="inlineStr">
        <is>
          <t>source</t>
        </is>
      </c>
    </row>
  </sheetData>
  <dataValidations count="9">
    <dataValidation sqref="A2:A5000" showDropDown="0" showInputMessage="0" showErrorMessage="1" allowBlank="1" error="Nombre entier positif ou nul." type="whole" operator="greaterThanOrEqual">
      <formula1>0</formula1>
    </dataValidation>
    <dataValidation sqref="B2:B5000" showDropDown="0" showInputMessage="0" showErrorMessage="1" allowBlank="1" error="Nombre entier positif ou nul." type="whole" operator="greaterThanOrEqual">
      <formula1>0</formula1>
    </dataValidation>
    <dataValidation sqref="C2:C5000" showDropDown="0" showInputMessage="0" showErrorMessage="1" allowBlank="1" errorTitle="Valeur non autorisée" error="Choisir une valeur dans la liste (feuille « listes »)." type="list">
      <formula1>=listes!$A$2:$A$8</formula1>
    </dataValidation>
    <dataValidation sqref="D2:D5000" showDropDown="0" showInputMessage="0" showErrorMessage="1" allowBlank="1" errorTitle="Valeur non autorisée" error="Choisir une valeur dans la liste (feuille « listes »)." type="list">
      <formula1>=listes!$O$2:$O$5</formula1>
    </dataValidation>
    <dataValidation sqref="E2:E5000" showDropDown="0" showInputMessage="0" showErrorMessage="1" allowBlank="1" error="Nombre entier positif ou nul." type="whole" operator="greaterThanOrEqual">
      <formula1>0</formula1>
    </dataValidation>
    <dataValidation sqref="F2:F5000" showDropDown="0" showInputMessage="0" showErrorMessage="1" allowBlank="1" error="Nombre entier positif ou nul." type="whole" operator="greaterThanOrEqual">
      <formula1>0</formula1>
    </dataValidation>
    <dataValidation sqref="G2:G5000" showDropDown="0" showInputMessage="0" showErrorMessage="1" allowBlank="1" error="Nombre entier positif ou nul." type="whole" operator="greaterThanOrEqual">
      <formula1>0</formula1>
    </dataValidation>
    <dataValidation sqref="H2:H5000" showDropDown="0" showInputMessage="0" showErrorMessage="1" allowBlank="1" error="Nombre entier positif ou nul." type="whole" operator="greaterThanOrEqual">
      <formula1>0</formula1>
    </dataValidation>
    <dataValidation sqref="K2:K5000" showDropDown="0" showInputMessage="0" showErrorMessage="1" allowBlank="1" error="Nombre entier positif ou nul." type="whole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30" customWidth="1" min="3" max="3"/>
    <col width="10" customWidth="1" min="4" max="4"/>
    <col width="60" customWidth="1" min="5" max="5"/>
    <col width="11" customWidth="1" min="6" max="6"/>
    <col width="24" customWidth="1" min="7" max="7"/>
  </cols>
  <sheetData>
    <row r="1">
      <c r="A1" s="20" t="inlineStr">
        <is>
          <t>feuille</t>
        </is>
      </c>
      <c r="B1" s="20" t="inlineStr">
        <is>
          <t>titre de la feuille</t>
        </is>
      </c>
      <c r="C1" s="20" t="inlineStr">
        <is>
          <t>colonne</t>
        </is>
      </c>
      <c r="D1" s="20" t="inlineStr">
        <is>
          <t>type</t>
        </is>
      </c>
      <c r="E1" s="20" t="inlineStr">
        <is>
          <t>description</t>
        </is>
      </c>
      <c r="F1" s="20" t="inlineStr">
        <is>
          <t>obligatoire</t>
        </is>
      </c>
      <c r="G1" s="20" t="inlineStr">
        <is>
          <t>valeurs autorisées</t>
        </is>
      </c>
    </row>
    <row r="2">
      <c r="A2" s="21" t="inlineStr">
        <is>
          <t>ref_zones</t>
        </is>
      </c>
      <c r="B2" s="21" t="inlineStr">
        <is>
          <t>Référentiel des zones de santé</t>
        </is>
      </c>
      <c r="C2" s="21" t="inlineStr">
        <is>
          <t>province</t>
        </is>
      </c>
      <c r="D2" s="21" t="inlineStr">
        <is>
          <t>texte</t>
        </is>
      </c>
      <c r="E2" s="21" t="inlineStr">
        <is>
          <t>Province (nom canonique)</t>
        </is>
      </c>
      <c r="F2" s="21" t="inlineStr">
        <is>
          <t>oui</t>
        </is>
      </c>
      <c r="G2" s="21" t="inlineStr">
        <is>
          <t>liste « provinces»</t>
        </is>
      </c>
    </row>
    <row r="3">
      <c r="A3" s="21" t="inlineStr">
        <is>
          <t>ref_zones</t>
        </is>
      </c>
      <c r="B3" s="21" t="inlineStr">
        <is>
          <t>Référentiel des zones de santé</t>
        </is>
      </c>
      <c r="C3" s="21" t="inlineStr">
        <is>
          <t>zone_sante</t>
        </is>
      </c>
      <c r="D3" s="21" t="inlineStr">
        <is>
          <t>texte</t>
        </is>
      </c>
      <c r="E3" s="21" t="inlineStr">
        <is>
          <t>Zone de santé (nom canonique du SitRep national)</t>
        </is>
      </c>
      <c r="F3" s="21" t="inlineStr">
        <is>
          <t>oui</t>
        </is>
      </c>
      <c r="G3" s="21" t="inlineStr"/>
    </row>
    <row r="4">
      <c r="A4" s="21" t="inlineStr">
        <is>
          <t>ref_zones</t>
        </is>
      </c>
      <c r="B4" s="21" t="inlineStr">
        <is>
          <t>Référentiel des zones de santé</t>
        </is>
      </c>
      <c r="C4" s="21" t="inlineStr">
        <is>
          <t>code_zs</t>
        </is>
      </c>
      <c r="D4" s="21" t="inlineStr">
        <is>
          <t>texte</t>
        </is>
      </c>
      <c r="E4" s="21" t="inlineStr">
        <is>
          <t>Code ou UID DHIS2 de la ZS (à compléter)</t>
        </is>
      </c>
      <c r="F4" s="21" t="inlineStr">
        <is>
          <t>non</t>
        </is>
      </c>
      <c r="G4" s="21" t="inlineStr"/>
    </row>
    <row r="5">
      <c r="A5" s="21" t="inlineStr">
        <is>
          <t>ref_zones</t>
        </is>
      </c>
      <c r="B5" s="21" t="inlineStr">
        <is>
          <t>Référentiel des zones de santé</t>
        </is>
      </c>
      <c r="C5" s="21" t="inlineStr">
        <is>
          <t>ip_cgpp</t>
        </is>
      </c>
      <c r="D5" s="21" t="inlineStr">
        <is>
          <t>texte</t>
        </is>
      </c>
      <c r="E5" s="21" t="inlineStr">
        <is>
          <t>Partenaire CGPP intervenant dans la ZS</t>
        </is>
      </c>
      <c r="F5" s="21" t="inlineStr">
        <is>
          <t>non</t>
        </is>
      </c>
      <c r="G5" s="21" t="inlineStr">
        <is>
          <t>liste « ip»</t>
        </is>
      </c>
    </row>
    <row r="6">
      <c r="A6" s="21" t="inlineStr">
        <is>
          <t>ref_zones</t>
        </is>
      </c>
      <c r="B6" s="21" t="inlineStr">
        <is>
          <t>Référentiel des zones de santé</t>
        </is>
      </c>
      <c r="C6" s="21" t="inlineStr">
        <is>
          <t>statut_cgpp</t>
        </is>
      </c>
      <c r="D6" s="21" t="inlineStr">
        <is>
          <t>texte</t>
        </is>
      </c>
      <c r="E6" s="21" t="inlineStr">
        <is>
          <t>Intervention / préparation / hors zone CGPP</t>
        </is>
      </c>
      <c r="F6" s="21" t="inlineStr">
        <is>
          <t>non</t>
        </is>
      </c>
      <c r="G6" s="21" t="inlineStr">
        <is>
          <t>liste « statut_cgpp»</t>
        </is>
      </c>
    </row>
    <row r="7">
      <c r="A7" s="21" t="inlineStr">
        <is>
          <t>ref_zones</t>
        </is>
      </c>
      <c r="B7" s="21" t="inlineStr">
        <is>
          <t>Référentiel des zones de santé</t>
        </is>
      </c>
      <c r="C7" s="21" t="inlineStr">
        <is>
          <t>population</t>
        </is>
      </c>
      <c r="D7" s="21" t="inlineStr">
        <is>
          <t>entier</t>
        </is>
      </c>
      <c r="E7" s="21" t="inlineStr">
        <is>
          <t>Population de la ZS (dénominateur des taux)</t>
        </is>
      </c>
      <c r="F7" s="21" t="inlineStr">
        <is>
          <t>non</t>
        </is>
      </c>
      <c r="G7" s="21" t="inlineStr"/>
    </row>
    <row r="8">
      <c r="A8" s="21" t="inlineStr">
        <is>
          <t>ref_zones</t>
        </is>
      </c>
      <c r="B8" s="21" t="inlineStr">
        <is>
          <t>Référentiel des zones de santé</t>
        </is>
      </c>
      <c r="C8" s="21" t="inlineStr">
        <is>
          <t>source</t>
        </is>
      </c>
      <c r="D8" s="21" t="inlineStr">
        <is>
          <t>texte</t>
        </is>
      </c>
      <c r="E8" s="21" t="inlineStr">
        <is>
          <t>Origine de la ligne</t>
        </is>
      </c>
      <c r="F8" s="21" t="inlineStr">
        <is>
          <t>non</t>
        </is>
      </c>
      <c r="G8" s="21" t="inlineStr"/>
    </row>
    <row r="9">
      <c r="A9" s="21" t="inlineStr">
        <is>
          <t>ref_partenaires</t>
        </is>
      </c>
      <c r="B9" s="21" t="inlineStr">
        <is>
          <t>Référentiel des partenaires de mise en oeuvre</t>
        </is>
      </c>
      <c r="C9" s="21" t="inlineStr">
        <is>
          <t>code_ip</t>
        </is>
      </c>
      <c r="D9" s="21" t="inlineStr">
        <is>
          <t>texte</t>
        </is>
      </c>
      <c r="E9" s="21" t="inlineStr">
        <is>
          <t>Code court du partenaire</t>
        </is>
      </c>
      <c r="F9" s="21" t="inlineStr">
        <is>
          <t>oui</t>
        </is>
      </c>
      <c r="G9" s="21" t="inlineStr"/>
    </row>
    <row r="10">
      <c r="A10" s="21" t="inlineStr">
        <is>
          <t>ref_partenaires</t>
        </is>
      </c>
      <c r="B10" s="21" t="inlineStr">
        <is>
          <t>Référentiel des partenaires de mise en oeuvre</t>
        </is>
      </c>
      <c r="C10" s="21" t="inlineStr">
        <is>
          <t>nom</t>
        </is>
      </c>
      <c r="D10" s="21" t="inlineStr">
        <is>
          <t>texte</t>
        </is>
      </c>
      <c r="E10" s="21" t="inlineStr">
        <is>
          <t>Nom complet</t>
        </is>
      </c>
      <c r="F10" s="21" t="inlineStr">
        <is>
          <t>oui</t>
        </is>
      </c>
      <c r="G10" s="21" t="inlineStr"/>
    </row>
    <row r="11">
      <c r="A11" s="21" t="inlineStr">
        <is>
          <t>ref_partenaires</t>
        </is>
      </c>
      <c r="B11" s="21" t="inlineStr">
        <is>
          <t>Référentiel des partenaires de mise en oeuvre</t>
        </is>
      </c>
      <c r="C11" s="21" t="inlineStr">
        <is>
          <t>role</t>
        </is>
      </c>
      <c r="D11" s="21" t="inlineStr">
        <is>
          <t>texte</t>
        </is>
      </c>
      <c r="E11" s="21" t="inlineStr">
        <is>
          <t>Rôle dans le consortium</t>
        </is>
      </c>
      <c r="F11" s="21" t="inlineStr">
        <is>
          <t>non</t>
        </is>
      </c>
      <c r="G11" s="21" t="inlineStr"/>
    </row>
    <row r="12">
      <c r="A12" s="21" t="inlineStr">
        <is>
          <t>ref_partenaires</t>
        </is>
      </c>
      <c r="B12" s="21" t="inlineStr">
        <is>
          <t>Référentiel des partenaires de mise en oeuvre</t>
        </is>
      </c>
      <c r="C12" s="21" t="inlineStr">
        <is>
          <t>provinces</t>
        </is>
      </c>
      <c r="D12" s="21" t="inlineStr">
        <is>
          <t>texte</t>
        </is>
      </c>
      <c r="E12" s="21" t="inlineStr">
        <is>
          <t>Provinces couvertes</t>
        </is>
      </c>
      <c r="F12" s="21" t="inlineStr">
        <is>
          <t>non</t>
        </is>
      </c>
      <c r="G12" s="21" t="inlineStr"/>
    </row>
    <row r="13">
      <c r="A13" s="21" t="inlineStr">
        <is>
          <t>ref_partenaires</t>
        </is>
      </c>
      <c r="B13" s="21" t="inlineStr">
        <is>
          <t>Référentiel des partenaires de mise en oeuvre</t>
        </is>
      </c>
      <c r="C13" s="21" t="inlineStr">
        <is>
          <t>point_focal</t>
        </is>
      </c>
      <c r="D13" s="21" t="inlineStr">
        <is>
          <t>texte</t>
        </is>
      </c>
      <c r="E13" s="21" t="inlineStr">
        <is>
          <t>Point focal données</t>
        </is>
      </c>
      <c r="F13" s="21" t="inlineStr">
        <is>
          <t>non</t>
        </is>
      </c>
      <c r="G13" s="21" t="inlineStr"/>
    </row>
    <row r="14">
      <c r="A14" s="21" t="inlineStr">
        <is>
          <t>ref_partenaires</t>
        </is>
      </c>
      <c r="B14" s="21" t="inlineStr">
        <is>
          <t>Référentiel des partenaires de mise en oeuvre</t>
        </is>
      </c>
      <c r="C14" s="21" t="inlineStr">
        <is>
          <t>email_point_focal</t>
        </is>
      </c>
      <c r="D14" s="21" t="inlineStr">
        <is>
          <t>texte</t>
        </is>
      </c>
      <c r="E14" s="21" t="inlineStr">
        <is>
          <t>Courriel du point focal</t>
        </is>
      </c>
      <c r="F14" s="21" t="inlineStr">
        <is>
          <t>non</t>
        </is>
      </c>
      <c r="G14" s="21" t="inlineStr"/>
    </row>
    <row r="15">
      <c r="A15" s="21" t="inlineStr">
        <is>
          <t>ref_indicateurs</t>
        </is>
      </c>
      <c r="B15" s="21" t="inlineStr">
        <is>
          <t>Matrice maîtresse des indicateurs</t>
        </is>
      </c>
      <c r="C15" s="21" t="inlineStr">
        <is>
          <t>id_indicateur</t>
        </is>
      </c>
      <c r="D15" s="21" t="inlineStr">
        <is>
          <t>texte</t>
        </is>
      </c>
      <c r="E15" s="21" t="inlineStr">
        <is>
          <t>Identifiant stable (texte, ex. SURV.05)</t>
        </is>
      </c>
      <c r="F15" s="21" t="inlineStr">
        <is>
          <t>oui</t>
        </is>
      </c>
      <c r="G15" s="21" t="inlineStr"/>
    </row>
    <row r="16">
      <c r="A16" s="21" t="inlineStr">
        <is>
          <t>ref_indicateurs</t>
        </is>
      </c>
      <c r="B16" s="21" t="inlineStr">
        <is>
          <t>Matrice maîtresse des indicateurs</t>
        </is>
      </c>
      <c r="C16" s="21" t="inlineStr">
        <is>
          <t>pilier</t>
        </is>
      </c>
      <c r="D16" s="21" t="inlineStr">
        <is>
          <t>texte</t>
        </is>
      </c>
      <c r="E16" s="21" t="inlineStr">
        <is>
          <t>Pilier du plan de travail DOS</t>
        </is>
      </c>
      <c r="F16" s="21" t="inlineStr">
        <is>
          <t>oui</t>
        </is>
      </c>
      <c r="G16" s="21" t="inlineStr">
        <is>
          <t>liste « piliers»</t>
        </is>
      </c>
    </row>
    <row r="17">
      <c r="A17" s="21" t="inlineStr">
        <is>
          <t>ref_indicateurs</t>
        </is>
      </c>
      <c r="B17" s="21" t="inlineStr">
        <is>
          <t>Matrice maîtresse des indicateurs</t>
        </is>
      </c>
      <c r="C17" s="21" t="inlineStr">
        <is>
          <t>libelle_fr</t>
        </is>
      </c>
      <c r="D17" s="21" t="inlineStr">
        <is>
          <t>texte</t>
        </is>
      </c>
      <c r="E17" s="21" t="inlineStr">
        <is>
          <t>Intitulé en français</t>
        </is>
      </c>
      <c r="F17" s="21" t="inlineStr">
        <is>
          <t>oui</t>
        </is>
      </c>
      <c r="G17" s="21" t="inlineStr"/>
    </row>
    <row r="18">
      <c r="A18" s="21" t="inlineStr">
        <is>
          <t>ref_indicateurs</t>
        </is>
      </c>
      <c r="B18" s="21" t="inlineStr">
        <is>
          <t>Matrice maîtresse des indicateurs</t>
        </is>
      </c>
      <c r="C18" s="21" t="inlineStr">
        <is>
          <t>libelle_en</t>
        </is>
      </c>
      <c r="D18" s="21" t="inlineStr">
        <is>
          <t>texte</t>
        </is>
      </c>
      <c r="E18" s="21" t="inlineStr">
        <is>
          <t>Intitulé en anglais (rapport DOS)</t>
        </is>
      </c>
      <c r="F18" s="21" t="inlineStr">
        <is>
          <t>non</t>
        </is>
      </c>
      <c r="G18" s="21" t="inlineStr"/>
    </row>
    <row r="19">
      <c r="A19" s="21" t="inlineStr">
        <is>
          <t>ref_indicateurs</t>
        </is>
      </c>
      <c r="B19" s="21" t="inlineStr">
        <is>
          <t>Matrice maîtresse des indicateurs</t>
        </is>
      </c>
      <c r="C19" s="21" t="inlineStr">
        <is>
          <t>type</t>
        </is>
      </c>
      <c r="D19" s="21" t="inlineStr">
        <is>
          <t>texte</t>
        </is>
      </c>
      <c r="E19" s="21" t="inlineStr">
        <is>
          <t>Nombre / Pourcentage / Délai</t>
        </is>
      </c>
      <c r="F19" s="21" t="inlineStr">
        <is>
          <t>oui</t>
        </is>
      </c>
      <c r="G19" s="21" t="inlineStr">
        <is>
          <t>liste « type_indicateur»</t>
        </is>
      </c>
    </row>
    <row r="20">
      <c r="A20" s="21" t="inlineStr">
        <is>
          <t>ref_indicateurs</t>
        </is>
      </c>
      <c r="B20" s="21" t="inlineStr">
        <is>
          <t>Matrice maîtresse des indicateurs</t>
        </is>
      </c>
      <c r="C20" s="21" t="inlineStr">
        <is>
          <t>niveau</t>
        </is>
      </c>
      <c r="D20" s="21" t="inlineStr">
        <is>
          <t>texte</t>
        </is>
      </c>
      <c r="E20" s="21" t="inlineStr">
        <is>
          <t>Tier 1 (performance) / Tier 2 (extrant) / Contexte</t>
        </is>
      </c>
      <c r="F20" s="21" t="inlineStr">
        <is>
          <t>non</t>
        </is>
      </c>
      <c r="G20" s="21" t="inlineStr"/>
    </row>
    <row r="21">
      <c r="A21" s="21" t="inlineStr">
        <is>
          <t>ref_indicateurs</t>
        </is>
      </c>
      <c r="B21" s="21" t="inlineStr">
        <is>
          <t>Matrice maîtresse des indicateurs</t>
        </is>
      </c>
      <c r="C21" s="21" t="inlineStr">
        <is>
          <t>numerateur</t>
        </is>
      </c>
      <c r="D21" s="21" t="inlineStr">
        <is>
          <t>texte</t>
        </is>
      </c>
      <c r="E21" s="21" t="inlineStr">
        <is>
          <t>Définition du numérateur</t>
        </is>
      </c>
      <c r="F21" s="21" t="inlineStr">
        <is>
          <t>oui</t>
        </is>
      </c>
      <c r="G21" s="21" t="inlineStr"/>
    </row>
    <row r="22">
      <c r="A22" s="21" t="inlineStr">
        <is>
          <t>ref_indicateurs</t>
        </is>
      </c>
      <c r="B22" s="21" t="inlineStr">
        <is>
          <t>Matrice maîtresse des indicateurs</t>
        </is>
      </c>
      <c r="C22" s="21" t="inlineStr">
        <is>
          <t>denominateur</t>
        </is>
      </c>
      <c r="D22" s="21" t="inlineStr">
        <is>
          <t>texte</t>
        </is>
      </c>
      <c r="E22" s="21" t="inlineStr">
        <is>
          <t>Définition du dénominateur (N/A pour un nombre)</t>
        </is>
      </c>
      <c r="F22" s="21" t="inlineStr">
        <is>
          <t>non</t>
        </is>
      </c>
      <c r="G22" s="21" t="inlineStr"/>
    </row>
    <row r="23">
      <c r="A23" s="21" t="inlineStr">
        <is>
          <t>ref_indicateurs</t>
        </is>
      </c>
      <c r="B23" s="21" t="inlineStr">
        <is>
          <t>Matrice maîtresse des indicateurs</t>
        </is>
      </c>
      <c r="C23" s="21" t="inlineStr">
        <is>
          <t>source_donnees</t>
        </is>
      </c>
      <c r="D23" s="21" t="inlineStr">
        <is>
          <t>texte</t>
        </is>
      </c>
      <c r="E23" s="21" t="inlineStr">
        <is>
          <t>Source primaire</t>
        </is>
      </c>
      <c r="F23" s="21" t="inlineStr">
        <is>
          <t>oui</t>
        </is>
      </c>
      <c r="G23" s="21" t="inlineStr"/>
    </row>
    <row r="24">
      <c r="A24" s="21" t="inlineStr">
        <is>
          <t>ref_indicateurs</t>
        </is>
      </c>
      <c r="B24" s="21" t="inlineStr">
        <is>
          <t>Matrice maîtresse des indicateurs</t>
        </is>
      </c>
      <c r="C24" s="21" t="inlineStr">
        <is>
          <t>champ_source</t>
        </is>
      </c>
      <c r="D24" s="21" t="inlineStr">
        <is>
          <t>texte</t>
        </is>
      </c>
      <c r="E24" s="21" t="inlineStr">
        <is>
          <t>Champ(s) de la fiche SBC / ODK / SitRep</t>
        </is>
      </c>
      <c r="F24" s="21" t="inlineStr">
        <is>
          <t>non</t>
        </is>
      </c>
      <c r="G24" s="21" t="inlineStr"/>
    </row>
    <row r="25">
      <c r="A25" s="21" t="inlineStr">
        <is>
          <t>ref_indicateurs</t>
        </is>
      </c>
      <c r="B25" s="21" t="inlineStr">
        <is>
          <t>Matrice maîtresse des indicateurs</t>
        </is>
      </c>
      <c r="C25" s="21" t="inlineStr">
        <is>
          <t>frequence</t>
        </is>
      </c>
      <c r="D25" s="21" t="inlineStr">
        <is>
          <t>texte</t>
        </is>
      </c>
      <c r="E25" s="21" t="inlineStr">
        <is>
          <t>Fréquence de rapportage</t>
        </is>
      </c>
      <c r="F25" s="21" t="inlineStr">
        <is>
          <t>oui</t>
        </is>
      </c>
      <c r="G25" s="21" t="inlineStr"/>
    </row>
    <row r="26">
      <c r="A26" s="21" t="inlineStr">
        <is>
          <t>ref_indicateurs</t>
        </is>
      </c>
      <c r="B26" s="21" t="inlineStr">
        <is>
          <t>Matrice maîtresse des indicateurs</t>
        </is>
      </c>
      <c r="C26" s="21" t="inlineStr">
        <is>
          <t>desagregation</t>
        </is>
      </c>
      <c r="D26" s="21" t="inlineStr">
        <is>
          <t>texte</t>
        </is>
      </c>
      <c r="E26" s="21" t="inlineStr">
        <is>
          <t>Désagrégations requises</t>
        </is>
      </c>
      <c r="F26" s="21" t="inlineStr">
        <is>
          <t>non</t>
        </is>
      </c>
      <c r="G26" s="21" t="inlineStr"/>
    </row>
    <row r="27">
      <c r="A27" s="21" t="inlineStr">
        <is>
          <t>ref_indicateurs</t>
        </is>
      </c>
      <c r="B27" s="21" t="inlineStr">
        <is>
          <t>Matrice maîtresse des indicateurs</t>
        </is>
      </c>
      <c r="C27" s="21" t="inlineStr">
        <is>
          <t>cible_dos</t>
        </is>
      </c>
      <c r="D27" s="21" t="inlineStr">
        <is>
          <t>texte</t>
        </is>
      </c>
      <c r="E27" s="21" t="inlineStr">
        <is>
          <t>Cible du plan de travail DOS</t>
        </is>
      </c>
      <c r="F27" s="21" t="inlineStr">
        <is>
          <t>non</t>
        </is>
      </c>
      <c r="G27" s="21" t="inlineStr"/>
    </row>
    <row r="28">
      <c r="A28" s="21" t="inlineStr">
        <is>
          <t>ref_indicateurs</t>
        </is>
      </c>
      <c r="B28" s="21" t="inlineStr">
        <is>
          <t>Matrice maîtresse des indicateurs</t>
        </is>
      </c>
      <c r="C28" s="21" t="inlineStr">
        <is>
          <t>cible_tranche5</t>
        </is>
      </c>
      <c r="D28" s="21" t="inlineStr">
        <is>
          <t>texte</t>
        </is>
      </c>
      <c r="E28" s="21" t="inlineStr">
        <is>
          <t>Cible de la Tranche 5</t>
        </is>
      </c>
      <c r="F28" s="21" t="inlineStr">
        <is>
          <t>non</t>
        </is>
      </c>
      <c r="G28" s="21" t="inlineStr"/>
    </row>
    <row r="29">
      <c r="A29" s="21" t="inlineStr">
        <is>
          <t>ref_indicateurs</t>
        </is>
      </c>
      <c r="B29" s="21" t="inlineStr">
        <is>
          <t>Matrice maîtresse des indicateurs</t>
        </is>
      </c>
      <c r="C29" s="21" t="inlineStr">
        <is>
          <t>cible_dos_num</t>
        </is>
      </c>
      <c r="D29" s="21" t="inlineStr">
        <is>
          <t>decimal</t>
        </is>
      </c>
      <c r="E29" s="21" t="inlineStr">
        <is>
          <t>Cible DOS en nombre (pour les calculs ; % en points)</t>
        </is>
      </c>
      <c r="F29" s="21" t="inlineStr">
        <is>
          <t>non</t>
        </is>
      </c>
      <c r="G29" s="21" t="inlineStr"/>
    </row>
    <row r="30">
      <c r="A30" s="21" t="inlineStr">
        <is>
          <t>ref_indicateurs</t>
        </is>
      </c>
      <c r="B30" s="21" t="inlineStr">
        <is>
          <t>Matrice maîtresse des indicateurs</t>
        </is>
      </c>
      <c r="C30" s="21" t="inlineStr">
        <is>
          <t>cible_t5_num</t>
        </is>
      </c>
      <c r="D30" s="21" t="inlineStr">
        <is>
          <t>decimal</t>
        </is>
      </c>
      <c r="E30" s="21" t="inlineStr">
        <is>
          <t>Cible Tranche 5 en nombre</t>
        </is>
      </c>
      <c r="F30" s="21" t="inlineStr">
        <is>
          <t>non</t>
        </is>
      </c>
      <c r="G30" s="21" t="inlineStr"/>
    </row>
    <row r="31">
      <c r="A31" s="21" t="inlineStr">
        <is>
          <t>ref_indicateurs</t>
        </is>
      </c>
      <c r="B31" s="21" t="inlineStr">
        <is>
          <t>Matrice maîtresse des indicateurs</t>
        </is>
      </c>
      <c r="C31" s="21" t="inlineStr">
        <is>
          <t>seuil_alerte</t>
        </is>
      </c>
      <c r="D31" s="21" t="inlineStr">
        <is>
          <t>texte</t>
        </is>
      </c>
      <c r="E31" s="21" t="inlineStr">
        <is>
          <t>Seuil de performance (code couleur)</t>
        </is>
      </c>
      <c r="F31" s="21" t="inlineStr">
        <is>
          <t>non</t>
        </is>
      </c>
      <c r="G31" s="21" t="inlineStr"/>
    </row>
    <row r="32">
      <c r="A32" s="21" t="inlineStr">
        <is>
          <t>ref_indicateurs</t>
        </is>
      </c>
      <c r="B32" s="21" t="inlineStr">
        <is>
          <t>Matrice maîtresse des indicateurs</t>
        </is>
      </c>
      <c r="C32" s="21" t="inlineStr">
        <is>
          <t>id_barclay</t>
        </is>
      </c>
      <c r="D32" s="21" t="inlineStr">
        <is>
          <t>texte</t>
        </is>
      </c>
      <c r="E32" s="21" t="inlineStr">
        <is>
          <t>Numéro dans la matrice de Dr Barclay</t>
        </is>
      </c>
      <c r="F32" s="21" t="inlineStr">
        <is>
          <t>non</t>
        </is>
      </c>
      <c r="G32" s="21" t="inlineStr"/>
    </row>
    <row r="33">
      <c r="A33" s="21" t="inlineStr">
        <is>
          <t>ref_indicateurs</t>
        </is>
      </c>
      <c r="B33" s="21" t="inlineStr">
        <is>
          <t>Matrice maîtresse des indicateurs</t>
        </is>
      </c>
      <c r="C33" s="21" t="inlineStr">
        <is>
          <t>id_cadre_global</t>
        </is>
      </c>
      <c r="D33" s="21" t="inlineStr">
        <is>
          <t>texte</t>
        </is>
      </c>
      <c r="E33" s="21" t="inlineStr">
        <is>
          <t>Rang dans le cadre global (1 à 25)</t>
        </is>
      </c>
      <c r="F33" s="21" t="inlineStr">
        <is>
          <t>non</t>
        </is>
      </c>
      <c r="G33" s="21" t="inlineStr"/>
    </row>
    <row r="34">
      <c r="A34" s="21" t="inlineStr">
        <is>
          <t>ref_indicateurs</t>
        </is>
      </c>
      <c r="B34" s="21" t="inlineStr">
        <is>
          <t>Matrice maîtresse des indicateurs</t>
        </is>
      </c>
      <c r="C34" s="21" t="inlineStr">
        <is>
          <t>statut</t>
        </is>
      </c>
      <c r="D34" s="21" t="inlineStr">
        <is>
          <t>texte</t>
        </is>
      </c>
      <c r="E34" s="21" t="inlineStr">
        <is>
          <t>existant / à corriger / nouveau</t>
        </is>
      </c>
      <c r="F34" s="21" t="inlineStr">
        <is>
          <t>oui</t>
        </is>
      </c>
      <c r="G34" s="21" t="inlineStr">
        <is>
          <t>liste « statut_indicateur»</t>
        </is>
      </c>
    </row>
    <row r="35">
      <c r="A35" s="21" t="inlineStr">
        <is>
          <t>ref_indicateurs</t>
        </is>
      </c>
      <c r="B35" s="21" t="inlineStr">
        <is>
          <t>Matrice maîtresse des indicateurs</t>
        </is>
      </c>
      <c r="C35" s="21" t="inlineStr">
        <is>
          <t>priorite</t>
        </is>
      </c>
      <c r="D35" s="21" t="inlineStr">
        <is>
          <t>texte</t>
        </is>
      </c>
      <c r="E35" s="21" t="inlineStr">
        <is>
          <t>Priorité de mise en oeuvre (1 à 3)</t>
        </is>
      </c>
      <c r="F35" s="21" t="inlineStr">
        <is>
          <t>non</t>
        </is>
      </c>
      <c r="G35" s="21" t="inlineStr"/>
    </row>
    <row r="36">
      <c r="A36" s="21" t="inlineStr">
        <is>
          <t>ref_indicateurs</t>
        </is>
      </c>
      <c r="B36" s="21" t="inlineStr">
        <is>
          <t>Matrice maîtresse des indicateurs</t>
        </is>
      </c>
      <c r="C36" s="21" t="inlineStr">
        <is>
          <t>commentaire</t>
        </is>
      </c>
      <c r="D36" s="21" t="inlineStr">
        <is>
          <t>texte</t>
        </is>
      </c>
      <c r="E36" s="21" t="inlineStr">
        <is>
          <t>Remarques, écarts relevés</t>
        </is>
      </c>
      <c r="F36" s="21" t="inlineStr">
        <is>
          <t>non</t>
        </is>
      </c>
      <c r="G36" s="21" t="inlineStr"/>
    </row>
    <row r="37">
      <c r="A37" s="21" t="inlineStr">
        <is>
          <t>ref_semaines</t>
        </is>
      </c>
      <c r="B37" s="21" t="inlineStr">
        <is>
          <t>Calendrier des semaines épidémiologiques (ISO)</t>
        </is>
      </c>
      <c r="C37" s="21" t="inlineStr">
        <is>
          <t>annee</t>
        </is>
      </c>
      <c r="D37" s="21" t="inlineStr">
        <is>
          <t>entier</t>
        </is>
      </c>
      <c r="E37" s="21" t="inlineStr">
        <is>
          <t>Année ISO</t>
        </is>
      </c>
      <c r="F37" s="21" t="inlineStr">
        <is>
          <t>oui</t>
        </is>
      </c>
      <c r="G37" s="21" t="inlineStr"/>
    </row>
    <row r="38">
      <c r="A38" s="21" t="inlineStr">
        <is>
          <t>ref_semaines</t>
        </is>
      </c>
      <c r="B38" s="21" t="inlineStr">
        <is>
          <t>Calendrier des semaines épidémiologiques (ISO)</t>
        </is>
      </c>
      <c r="C38" s="21" t="inlineStr">
        <is>
          <t>semaine_iso</t>
        </is>
      </c>
      <c r="D38" s="21" t="inlineStr">
        <is>
          <t>entier</t>
        </is>
      </c>
      <c r="E38" s="21" t="inlineStr">
        <is>
          <t>Numéro de semaine ISO</t>
        </is>
      </c>
      <c r="F38" s="21" t="inlineStr">
        <is>
          <t>oui</t>
        </is>
      </c>
      <c r="G38" s="21" t="inlineStr"/>
    </row>
    <row r="39">
      <c r="A39" s="21" t="inlineStr">
        <is>
          <t>ref_semaines</t>
        </is>
      </c>
      <c r="B39" s="21" t="inlineStr">
        <is>
          <t>Calendrier des semaines épidémiologiques (ISO)</t>
        </is>
      </c>
      <c r="C39" s="21" t="inlineStr">
        <is>
          <t>date_debut</t>
        </is>
      </c>
      <c r="D39" s="21" t="inlineStr">
        <is>
          <t>date</t>
        </is>
      </c>
      <c r="E39" s="21" t="inlineStr">
        <is>
          <t>Lundi</t>
        </is>
      </c>
      <c r="F39" s="21" t="inlineStr">
        <is>
          <t>oui</t>
        </is>
      </c>
      <c r="G39" s="21" t="inlineStr"/>
    </row>
    <row r="40">
      <c r="A40" s="21" t="inlineStr">
        <is>
          <t>ref_semaines</t>
        </is>
      </c>
      <c r="B40" s="21" t="inlineStr">
        <is>
          <t>Calendrier des semaines épidémiologiques (ISO)</t>
        </is>
      </c>
      <c r="C40" s="21" t="inlineStr">
        <is>
          <t>date_fin</t>
        </is>
      </c>
      <c r="D40" s="21" t="inlineStr">
        <is>
          <t>date</t>
        </is>
      </c>
      <c r="E40" s="21" t="inlineStr">
        <is>
          <t>Dimanche</t>
        </is>
      </c>
      <c r="F40" s="21" t="inlineStr">
        <is>
          <t>oui</t>
        </is>
      </c>
      <c r="G40" s="21" t="inlineStr"/>
    </row>
    <row r="41">
      <c r="A41" s="21" t="inlineStr">
        <is>
          <t>ref_semaines</t>
        </is>
      </c>
      <c r="B41" s="21" t="inlineStr">
        <is>
          <t>Calendrier des semaines épidémiologiques (ISO)</t>
        </is>
      </c>
      <c r="C41" s="21" t="inlineStr">
        <is>
          <t>libelle</t>
        </is>
      </c>
      <c r="D41" s="21" t="inlineStr">
        <is>
          <t>texte</t>
        </is>
      </c>
      <c r="E41" s="21" t="inlineStr">
        <is>
          <t>Libellé affiché</t>
        </is>
      </c>
      <c r="F41" s="21" t="inlineStr">
        <is>
          <t>oui</t>
        </is>
      </c>
      <c r="G41" s="21" t="inlineStr"/>
    </row>
    <row r="42">
      <c r="A42" s="21" t="inlineStr">
        <is>
          <t>sitrep_meta</t>
        </is>
      </c>
      <c r="B42" s="21" t="inlineStr">
        <is>
          <t>SitReps nationaux : en-tête et chiffres clés</t>
        </is>
      </c>
      <c r="C42" s="21" t="inlineStr">
        <is>
          <t>sitrep_no</t>
        </is>
      </c>
      <c r="D42" s="21" t="inlineStr">
        <is>
          <t>entier</t>
        </is>
      </c>
      <c r="E42" s="21" t="inlineStr">
        <is>
          <t>Numéro du SitRep national</t>
        </is>
      </c>
      <c r="F42" s="21" t="inlineStr">
        <is>
          <t>oui</t>
        </is>
      </c>
      <c r="G42" s="21" t="inlineStr"/>
    </row>
    <row r="43">
      <c r="A43" s="21" t="inlineStr">
        <is>
          <t>sitrep_meta</t>
        </is>
      </c>
      <c r="B43" s="21" t="inlineStr">
        <is>
          <t>SitReps nationaux : en-tête et chiffres clés</t>
        </is>
      </c>
      <c r="C43" s="21" t="inlineStr">
        <is>
          <t>date_rapport</t>
        </is>
      </c>
      <c r="D43" s="21" t="inlineStr">
        <is>
          <t>date</t>
        </is>
      </c>
      <c r="E43" s="21" t="inlineStr">
        <is>
          <t>Date des données</t>
        </is>
      </c>
      <c r="F43" s="21" t="inlineStr">
        <is>
          <t>oui</t>
        </is>
      </c>
      <c r="G43" s="21" t="inlineStr"/>
    </row>
    <row r="44">
      <c r="A44" s="21" t="inlineStr">
        <is>
          <t>sitrep_meta</t>
        </is>
      </c>
      <c r="B44" s="21" t="inlineStr">
        <is>
          <t>SitReps nationaux : en-tête et chiffres clés</t>
        </is>
      </c>
      <c r="C44" s="21" t="inlineStr">
        <is>
          <t>date_publication</t>
        </is>
      </c>
      <c r="D44" s="21" t="inlineStr">
        <is>
          <t>date</t>
        </is>
      </c>
      <c r="E44" s="21" t="inlineStr">
        <is>
          <t>Date de publication</t>
        </is>
      </c>
      <c r="F44" s="21" t="inlineStr">
        <is>
          <t>non</t>
        </is>
      </c>
      <c r="G44" s="21" t="inlineStr"/>
    </row>
    <row r="45">
      <c r="A45" s="21" t="inlineStr">
        <is>
          <t>sitrep_meta</t>
        </is>
      </c>
      <c r="B45" s="21" t="inlineStr">
        <is>
          <t>SitReps nationaux : en-tête et chiffres clés</t>
        </is>
      </c>
      <c r="C45" s="21" t="inlineStr">
        <is>
          <t>fichier_source</t>
        </is>
      </c>
      <c r="D45" s="21" t="inlineStr">
        <is>
          <t>texte</t>
        </is>
      </c>
      <c r="E45" s="21" t="inlineStr">
        <is>
          <t>Fichier d'origine</t>
        </is>
      </c>
      <c r="F45" s="21" t="inlineStr">
        <is>
          <t>oui</t>
        </is>
      </c>
      <c r="G45" s="21" t="inlineStr"/>
    </row>
    <row r="46">
      <c r="A46" s="21" t="inlineStr">
        <is>
          <t>sitrep_meta</t>
        </is>
      </c>
      <c r="B46" s="21" t="inlineStr">
        <is>
          <t>SitReps nationaux : en-tête et chiffres clés</t>
        </is>
      </c>
      <c r="C46" s="21" t="inlineStr">
        <is>
          <t>cas_cumul</t>
        </is>
      </c>
      <c r="D46" s="21" t="inlineStr">
        <is>
          <t>entier</t>
        </is>
      </c>
      <c r="E46" s="21" t="inlineStr">
        <is>
          <t>Cumul des cas confirmés (encadré)</t>
        </is>
      </c>
      <c r="F46" s="21" t="inlineStr">
        <is>
          <t>oui</t>
        </is>
      </c>
      <c r="G46" s="21" t="inlineStr"/>
    </row>
    <row r="47">
      <c r="A47" s="21" t="inlineStr">
        <is>
          <t>sitrep_meta</t>
        </is>
      </c>
      <c r="B47" s="21" t="inlineStr">
        <is>
          <t>SitReps nationaux : en-tête et chiffres clés</t>
        </is>
      </c>
      <c r="C47" s="21" t="inlineStr">
        <is>
          <t>deces_cumul</t>
        </is>
      </c>
      <c r="D47" s="21" t="inlineStr">
        <is>
          <t>entier</t>
        </is>
      </c>
      <c r="E47" s="21" t="inlineStr">
        <is>
          <t>Cumul des décès confirmés (encadré)</t>
        </is>
      </c>
      <c r="F47" s="21" t="inlineStr">
        <is>
          <t>oui</t>
        </is>
      </c>
      <c r="G47" s="21" t="inlineStr"/>
    </row>
    <row r="48">
      <c r="A48" s="21" t="inlineStr">
        <is>
          <t>sitrep_meta</t>
        </is>
      </c>
      <c r="B48" s="21" t="inlineStr">
        <is>
          <t>SitReps nationaux : en-tête et chiffres clés</t>
        </is>
      </c>
      <c r="C48" s="21" t="inlineStr">
        <is>
          <t>gueris_cumul</t>
        </is>
      </c>
      <c r="D48" s="21" t="inlineStr">
        <is>
          <t>entier</t>
        </is>
      </c>
      <c r="E48" s="21" t="inlineStr">
        <is>
          <t>Cumul des guéris (encadré)</t>
        </is>
      </c>
      <c r="F48" s="21" t="inlineStr">
        <is>
          <t>non</t>
        </is>
      </c>
      <c r="G48" s="21" t="inlineStr"/>
    </row>
    <row r="49">
      <c r="A49" s="21" t="inlineStr">
        <is>
          <t>sitrep_meta</t>
        </is>
      </c>
      <c r="B49" s="21" t="inlineStr">
        <is>
          <t>SitReps nationaux : en-tête et chiffres clés</t>
        </is>
      </c>
      <c r="C49" s="21" t="inlineStr">
        <is>
          <t>taux_suivi_contacts</t>
        </is>
      </c>
      <c r="D49" s="21" t="inlineStr">
        <is>
          <t>decimal</t>
        </is>
      </c>
      <c r="E49" s="21" t="inlineStr">
        <is>
          <t>Taux de suivi des contacts du jour (%)</t>
        </is>
      </c>
      <c r="F49" s="21" t="inlineStr">
        <is>
          <t>non</t>
        </is>
      </c>
      <c r="G49" s="21" t="inlineStr"/>
    </row>
    <row r="50">
      <c r="A50" s="21" t="inlineStr">
        <is>
          <t>sitrep_meta</t>
        </is>
      </c>
      <c r="B50" s="21" t="inlineStr">
        <is>
          <t>SitReps nationaux : en-tête et chiffres clés</t>
        </is>
      </c>
      <c r="C50" s="21" t="inlineStr">
        <is>
          <t>letalite</t>
        </is>
      </c>
      <c r="D50" s="21" t="inlineStr">
        <is>
          <t>decimal</t>
        </is>
      </c>
      <c r="E50" s="21" t="inlineStr">
        <is>
          <t>Létalité publiée (%)</t>
        </is>
      </c>
      <c r="F50" s="21" t="inlineStr">
        <is>
          <t>non</t>
        </is>
      </c>
      <c r="G50" s="21" t="inlineStr"/>
    </row>
    <row r="51">
      <c r="A51" s="21" t="inlineStr">
        <is>
          <t>sitrep_meta</t>
        </is>
      </c>
      <c r="B51" s="21" t="inlineStr">
        <is>
          <t>SitReps nationaux : en-tête et chiffres clés</t>
        </is>
      </c>
      <c r="C51" s="21" t="inlineStr">
        <is>
          <t>patients_isolement</t>
        </is>
      </c>
      <c r="D51" s="21" t="inlineStr">
        <is>
          <t>entier</t>
        </is>
      </c>
      <c r="E51" s="21" t="inlineStr">
        <is>
          <t>Patients en isolement / CTE (encadré)</t>
        </is>
      </c>
      <c r="F51" s="21" t="inlineStr">
        <is>
          <t>non</t>
        </is>
      </c>
      <c r="G51" s="21" t="inlineStr"/>
    </row>
    <row r="52">
      <c r="A52" s="21" t="inlineStr">
        <is>
          <t>sitrep_meta</t>
        </is>
      </c>
      <c r="B52" s="21" t="inlineStr">
        <is>
          <t>SitReps nationaux : en-tête et chiffres clés</t>
        </is>
      </c>
      <c r="C52" s="21" t="inlineStr">
        <is>
          <t>aires_sante_touchees</t>
        </is>
      </c>
      <c r="D52" s="21" t="inlineStr">
        <is>
          <t>entier</t>
        </is>
      </c>
      <c r="E52" s="21" t="inlineStr">
        <is>
          <t>Aires de santé touchées</t>
        </is>
      </c>
      <c r="F52" s="21" t="inlineStr">
        <is>
          <t>non</t>
        </is>
      </c>
      <c r="G52" s="21" t="inlineStr"/>
    </row>
    <row r="53">
      <c r="A53" s="21" t="inlineStr">
        <is>
          <t>sitrep_meta</t>
        </is>
      </c>
      <c r="B53" s="21" t="inlineStr">
        <is>
          <t>SitReps nationaux : en-tête et chiffres clés</t>
        </is>
      </c>
      <c r="C53" s="21" t="inlineStr">
        <is>
          <t>aires_sante_total</t>
        </is>
      </c>
      <c r="D53" s="21" t="inlineStr">
        <is>
          <t>entier</t>
        </is>
      </c>
      <c r="E53" s="21" t="inlineStr">
        <is>
          <t>Total des aires de santé</t>
        </is>
      </c>
      <c r="F53" s="21" t="inlineStr">
        <is>
          <t>non</t>
        </is>
      </c>
      <c r="G53" s="21" t="inlineStr"/>
    </row>
    <row r="54">
      <c r="A54" s="21" t="inlineStr">
        <is>
          <t>sitrep_meta</t>
        </is>
      </c>
      <c r="B54" s="21" t="inlineStr">
        <is>
          <t>SitReps nationaux : en-tête et chiffres clés</t>
        </is>
      </c>
      <c r="C54" s="21" t="inlineStr">
        <is>
          <t>nouveaux_cas_24h</t>
        </is>
      </c>
      <c r="D54" s="21" t="inlineStr">
        <is>
          <t>entier</t>
        </is>
      </c>
      <c r="E54" s="21" t="inlineStr">
        <is>
          <t>Nouveaux cas confirmés (faits saillants)</t>
        </is>
      </c>
      <c r="F54" s="21" t="inlineStr">
        <is>
          <t>non</t>
        </is>
      </c>
      <c r="G54" s="21" t="inlineStr"/>
    </row>
    <row r="55">
      <c r="A55" s="21" t="inlineStr">
        <is>
          <t>sitrep_meta</t>
        </is>
      </c>
      <c r="B55" s="21" t="inlineStr">
        <is>
          <t>SitReps nationaux : en-tête et chiffres clés</t>
        </is>
      </c>
      <c r="C55" s="21" t="inlineStr">
        <is>
          <t>deces_communautaires_24h</t>
        </is>
      </c>
      <c r="D55" s="21" t="inlineStr">
        <is>
          <t>entier</t>
        </is>
      </c>
      <c r="E55" s="21" t="inlineStr">
        <is>
          <t>Décès communautaires du jour</t>
        </is>
      </c>
      <c r="F55" s="21" t="inlineStr">
        <is>
          <t>non</t>
        </is>
      </c>
      <c r="G55" s="21" t="inlineStr"/>
    </row>
    <row r="56">
      <c r="A56" s="21" t="inlineStr">
        <is>
          <t>sitrep_meta</t>
        </is>
      </c>
      <c r="B56" s="21" t="inlineStr">
        <is>
          <t>SitReps nationaux : en-tête et chiffres clés</t>
        </is>
      </c>
      <c r="C56" s="21" t="inlineStr">
        <is>
          <t>deces_cte_24h</t>
        </is>
      </c>
      <c r="D56" s="21" t="inlineStr">
        <is>
          <t>entier</t>
        </is>
      </c>
      <c r="E56" s="21" t="inlineStr">
        <is>
          <t>Décès dans les CTE du jour</t>
        </is>
      </c>
      <c r="F56" s="21" t="inlineStr">
        <is>
          <t>non</t>
        </is>
      </c>
      <c r="G56" s="21" t="inlineStr"/>
    </row>
    <row r="57">
      <c r="A57" s="21" t="inlineStr">
        <is>
          <t>sitrep_meta</t>
        </is>
      </c>
      <c r="B57" s="21" t="inlineStr">
        <is>
          <t>SitReps nationaux : en-tête et chiffres clés</t>
        </is>
      </c>
      <c r="C57" s="21" t="inlineStr">
        <is>
          <t>gueris_24h</t>
        </is>
      </c>
      <c r="D57" s="21" t="inlineStr">
        <is>
          <t>entier</t>
        </is>
      </c>
      <c r="E57" s="21" t="inlineStr">
        <is>
          <t>Guéris du jour (résumé)</t>
        </is>
      </c>
      <c r="F57" s="21" t="inlineStr">
        <is>
          <t>non</t>
        </is>
      </c>
      <c r="G57" s="21" t="inlineStr"/>
    </row>
    <row r="58">
      <c r="A58" s="21" t="inlineStr">
        <is>
          <t>sitrep_meta</t>
        </is>
      </c>
      <c r="B58" s="21" t="inlineStr">
        <is>
          <t>SitReps nationaux : en-tête et chiffres clés</t>
        </is>
      </c>
      <c r="C58" s="21" t="inlineStr">
        <is>
          <t>echantillons_24h</t>
        </is>
      </c>
      <c r="D58" s="21" t="inlineStr">
        <is>
          <t>entier</t>
        </is>
      </c>
      <c r="E58" s="21" t="inlineStr">
        <is>
          <t>Échantillons analysés (faits saillants)</t>
        </is>
      </c>
      <c r="F58" s="21" t="inlineStr">
        <is>
          <t>non</t>
        </is>
      </c>
      <c r="G58" s="21" t="inlineStr"/>
    </row>
    <row r="59">
      <c r="A59" s="21" t="inlineStr">
        <is>
          <t>sitrep_meta</t>
        </is>
      </c>
      <c r="B59" s="21" t="inlineStr">
        <is>
          <t>SitReps nationaux : en-tête et chiffres clés</t>
        </is>
      </c>
      <c r="C59" s="21" t="inlineStr">
        <is>
          <t>faits_saillants</t>
        </is>
      </c>
      <c r="D59" s="21" t="inlineStr">
        <is>
          <t>texte</t>
        </is>
      </c>
      <c r="E59" s="21" t="inlineStr">
        <is>
          <t>Texte des faits saillants</t>
        </is>
      </c>
      <c r="F59" s="21" t="inlineStr">
        <is>
          <t>non</t>
        </is>
      </c>
      <c r="G59" s="21" t="inlineStr"/>
    </row>
    <row r="60">
      <c r="A60" s="21" t="inlineStr">
        <is>
          <t>sitrep_meta</t>
        </is>
      </c>
      <c r="B60" s="21" t="inlineStr">
        <is>
          <t>SitReps nationaux : en-tête et chiffres clés</t>
        </is>
      </c>
      <c r="C60" s="21" t="inlineStr">
        <is>
          <t>date_extraction</t>
        </is>
      </c>
      <c r="D60" s="21" t="inlineStr">
        <is>
          <t>date</t>
        </is>
      </c>
      <c r="E60" s="21" t="inlineStr">
        <is>
          <t>Date de l'extraction</t>
        </is>
      </c>
      <c r="F60" s="21" t="inlineStr">
        <is>
          <t>oui</t>
        </is>
      </c>
      <c r="G60" s="21" t="inlineStr"/>
    </row>
    <row r="61">
      <c r="A61" s="21" t="inlineStr">
        <is>
          <t>epi_province</t>
        </is>
      </c>
      <c r="B61" s="21" t="inlineStr">
        <is>
          <t>Situation par province (Tableau 1 du SitRep)</t>
        </is>
      </c>
      <c r="C61" s="21" t="inlineStr">
        <is>
          <t>sitrep_no</t>
        </is>
      </c>
      <c r="D61" s="21" t="inlineStr">
        <is>
          <t>entier</t>
        </is>
      </c>
      <c r="E61" s="21" t="inlineStr">
        <is>
          <t>Numéro du SitRep</t>
        </is>
      </c>
      <c r="F61" s="21" t="inlineStr">
        <is>
          <t>oui</t>
        </is>
      </c>
      <c r="G61" s="21" t="inlineStr"/>
    </row>
    <row r="62">
      <c r="A62" s="21" t="inlineStr">
        <is>
          <t>epi_province</t>
        </is>
      </c>
      <c r="B62" s="21" t="inlineStr">
        <is>
          <t>Situation par province (Tableau 1 du SitRep)</t>
        </is>
      </c>
      <c r="C62" s="21" t="inlineStr">
        <is>
          <t>date_rapport</t>
        </is>
      </c>
      <c r="D62" s="21" t="inlineStr">
        <is>
          <t>date</t>
        </is>
      </c>
      <c r="E62" s="21" t="inlineStr">
        <is>
          <t>Date des données</t>
        </is>
      </c>
      <c r="F62" s="21" t="inlineStr">
        <is>
          <t>oui</t>
        </is>
      </c>
      <c r="G62" s="21" t="inlineStr"/>
    </row>
    <row r="63">
      <c r="A63" s="21" t="inlineStr">
        <is>
          <t>epi_province</t>
        </is>
      </c>
      <c r="B63" s="21" t="inlineStr">
        <is>
          <t>Situation par province (Tableau 1 du SitRep)</t>
        </is>
      </c>
      <c r="C63" s="21" t="inlineStr">
        <is>
          <t>province</t>
        </is>
      </c>
      <c r="D63" s="21" t="inlineStr">
        <is>
          <t>texte</t>
        </is>
      </c>
      <c r="E63" s="21" t="inlineStr">
        <is>
          <t>Province</t>
        </is>
      </c>
      <c r="F63" s="21" t="inlineStr">
        <is>
          <t>oui</t>
        </is>
      </c>
      <c r="G63" s="21" t="inlineStr">
        <is>
          <t>liste « provinces»</t>
        </is>
      </c>
    </row>
    <row r="64">
      <c r="A64" s="21" t="inlineStr">
        <is>
          <t>epi_province</t>
        </is>
      </c>
      <c r="B64" s="21" t="inlineStr">
        <is>
          <t>Situation par province (Tableau 1 du SitRep)</t>
        </is>
      </c>
      <c r="C64" s="21" t="inlineStr">
        <is>
          <t>nouveaux_cas_24h</t>
        </is>
      </c>
      <c r="D64" s="21" t="inlineStr">
        <is>
          <t>entier</t>
        </is>
      </c>
      <c r="E64" s="21" t="inlineStr">
        <is>
          <t>Nouveaux cas confirmés (24 h)</t>
        </is>
      </c>
      <c r="F64" s="21" t="inlineStr">
        <is>
          <t>oui</t>
        </is>
      </c>
      <c r="G64" s="21" t="inlineStr"/>
    </row>
    <row r="65">
      <c r="A65" s="21" t="inlineStr">
        <is>
          <t>epi_province</t>
        </is>
      </c>
      <c r="B65" s="21" t="inlineStr">
        <is>
          <t>Situation par province (Tableau 1 du SitRep)</t>
        </is>
      </c>
      <c r="C65" s="21" t="inlineStr">
        <is>
          <t>cas_cumul</t>
        </is>
      </c>
      <c r="D65" s="21" t="inlineStr">
        <is>
          <t>entier</t>
        </is>
      </c>
      <c r="E65" s="21" t="inlineStr">
        <is>
          <t>Cas confirmés cumulés</t>
        </is>
      </c>
      <c r="F65" s="21" t="inlineStr">
        <is>
          <t>oui</t>
        </is>
      </c>
      <c r="G65" s="21" t="inlineStr"/>
    </row>
    <row r="66">
      <c r="A66" s="21" t="inlineStr">
        <is>
          <t>epi_province</t>
        </is>
      </c>
      <c r="B66" s="21" t="inlineStr">
        <is>
          <t>Situation par province (Tableau 1 du SitRep)</t>
        </is>
      </c>
      <c r="C66" s="21" t="inlineStr">
        <is>
          <t>deces_cumul</t>
        </is>
      </c>
      <c r="D66" s="21" t="inlineStr">
        <is>
          <t>entier</t>
        </is>
      </c>
      <c r="E66" s="21" t="inlineStr">
        <is>
          <t>Décès confirmés cumulés</t>
        </is>
      </c>
      <c r="F66" s="21" t="inlineStr">
        <is>
          <t>oui</t>
        </is>
      </c>
      <c r="G66" s="21" t="inlineStr"/>
    </row>
    <row r="67">
      <c r="A67" s="21" t="inlineStr">
        <is>
          <t>epi_province</t>
        </is>
      </c>
      <c r="B67" s="21" t="inlineStr">
        <is>
          <t>Situation par province (Tableau 1 du SitRep)</t>
        </is>
      </c>
      <c r="C67" s="21" t="inlineStr">
        <is>
          <t>letalite_publiee</t>
        </is>
      </c>
      <c r="D67" s="21" t="inlineStr">
        <is>
          <t>decimal</t>
        </is>
      </c>
      <c r="E67" s="21" t="inlineStr">
        <is>
          <t>Létalité publiée (%)</t>
        </is>
      </c>
      <c r="F67" s="21" t="inlineStr">
        <is>
          <t>non</t>
        </is>
      </c>
      <c r="G67" s="21" t="inlineStr"/>
    </row>
    <row r="68">
      <c r="A68" s="21" t="inlineStr">
        <is>
          <t>epi_province</t>
        </is>
      </c>
      <c r="B68" s="21" t="inlineStr">
        <is>
          <t>Situation par province (Tableau 1 du SitRep)</t>
        </is>
      </c>
      <c r="C68" s="21" t="inlineStr">
        <is>
          <t>zs_touchees</t>
        </is>
      </c>
      <c r="D68" s="21" t="inlineStr">
        <is>
          <t>entier</t>
        </is>
      </c>
      <c r="E68" s="21" t="inlineStr">
        <is>
          <t>ZS touchées</t>
        </is>
      </c>
      <c r="F68" s="21" t="inlineStr">
        <is>
          <t>non</t>
        </is>
      </c>
      <c r="G68" s="21" t="inlineStr"/>
    </row>
    <row r="69">
      <c r="A69" s="21" t="inlineStr">
        <is>
          <t>epi_province</t>
        </is>
      </c>
      <c r="B69" s="21" t="inlineStr">
        <is>
          <t>Situation par province (Tableau 1 du SitRep)</t>
        </is>
      </c>
      <c r="C69" s="21" t="inlineStr">
        <is>
          <t>zs_total</t>
        </is>
      </c>
      <c r="D69" s="21" t="inlineStr">
        <is>
          <t>entier</t>
        </is>
      </c>
      <c r="E69" s="21" t="inlineStr">
        <is>
          <t>ZS de la province</t>
        </is>
      </c>
      <c r="F69" s="21" t="inlineStr">
        <is>
          <t>non</t>
        </is>
      </c>
      <c r="G69" s="21" t="inlineStr"/>
    </row>
    <row r="70">
      <c r="A70" s="21" t="inlineStr">
        <is>
          <t>epi_zs</t>
        </is>
      </c>
      <c r="B70" s="21" t="inlineStr">
        <is>
          <t>Situation par zone de santé (Tableau 2 du SitRep)</t>
        </is>
      </c>
      <c r="C70" s="21" t="inlineStr">
        <is>
          <t>sitrep_no</t>
        </is>
      </c>
      <c r="D70" s="21" t="inlineStr">
        <is>
          <t>entier</t>
        </is>
      </c>
      <c r="E70" s="21" t="inlineStr">
        <is>
          <t>Numéro du SitRep</t>
        </is>
      </c>
      <c r="F70" s="21" t="inlineStr">
        <is>
          <t>oui</t>
        </is>
      </c>
      <c r="G70" s="21" t="inlineStr"/>
    </row>
    <row r="71">
      <c r="A71" s="21" t="inlineStr">
        <is>
          <t>epi_zs</t>
        </is>
      </c>
      <c r="B71" s="21" t="inlineStr">
        <is>
          <t>Situation par zone de santé (Tableau 2 du SitRep)</t>
        </is>
      </c>
      <c r="C71" s="21" t="inlineStr">
        <is>
          <t>date_rapport</t>
        </is>
      </c>
      <c r="D71" s="21" t="inlineStr">
        <is>
          <t>date</t>
        </is>
      </c>
      <c r="E71" s="21" t="inlineStr">
        <is>
          <t>Date des données</t>
        </is>
      </c>
      <c r="F71" s="21" t="inlineStr">
        <is>
          <t>oui</t>
        </is>
      </c>
      <c r="G71" s="21" t="inlineStr"/>
    </row>
    <row r="72">
      <c r="A72" s="21" t="inlineStr">
        <is>
          <t>epi_zs</t>
        </is>
      </c>
      <c r="B72" s="21" t="inlineStr">
        <is>
          <t>Situation par zone de santé (Tableau 2 du SitRep)</t>
        </is>
      </c>
      <c r="C72" s="21" t="inlineStr">
        <is>
          <t>province</t>
        </is>
      </c>
      <c r="D72" s="21" t="inlineStr">
        <is>
          <t>texte</t>
        </is>
      </c>
      <c r="E72" s="21" t="inlineStr">
        <is>
          <t>Province</t>
        </is>
      </c>
      <c r="F72" s="21" t="inlineStr">
        <is>
          <t>oui</t>
        </is>
      </c>
      <c r="G72" s="21" t="inlineStr">
        <is>
          <t>liste « provinces»</t>
        </is>
      </c>
    </row>
    <row r="73">
      <c r="A73" s="21" t="inlineStr">
        <is>
          <t>epi_zs</t>
        </is>
      </c>
      <c r="B73" s="21" t="inlineStr">
        <is>
          <t>Situation par zone de santé (Tableau 2 du SitRep)</t>
        </is>
      </c>
      <c r="C73" s="21" t="inlineStr">
        <is>
          <t>zone_sante</t>
        </is>
      </c>
      <c r="D73" s="21" t="inlineStr">
        <is>
          <t>texte</t>
        </is>
      </c>
      <c r="E73" s="21" t="inlineStr">
        <is>
          <t>Zone de santé</t>
        </is>
      </c>
      <c r="F73" s="21" t="inlineStr">
        <is>
          <t>oui</t>
        </is>
      </c>
      <c r="G73" s="21" t="inlineStr"/>
    </row>
    <row r="74">
      <c r="A74" s="21" t="inlineStr">
        <is>
          <t>epi_zs</t>
        </is>
      </c>
      <c r="B74" s="21" t="inlineStr">
        <is>
          <t>Situation par zone de santé (Tableau 2 du SitRep)</t>
        </is>
      </c>
      <c r="C74" s="21" t="inlineStr">
        <is>
          <t>cas_cumul</t>
        </is>
      </c>
      <c r="D74" s="21" t="inlineStr">
        <is>
          <t>entier</t>
        </is>
      </c>
      <c r="E74" s="21" t="inlineStr">
        <is>
          <t>Cas confirmés cumulés</t>
        </is>
      </c>
      <c r="F74" s="21" t="inlineStr">
        <is>
          <t>non</t>
        </is>
      </c>
      <c r="G74" s="21" t="inlineStr"/>
    </row>
    <row r="75">
      <c r="A75" s="21" t="inlineStr">
        <is>
          <t>epi_zs</t>
        </is>
      </c>
      <c r="B75" s="21" t="inlineStr">
        <is>
          <t>Situation par zone de santé (Tableau 2 du SitRep)</t>
        </is>
      </c>
      <c r="C75" s="21" t="inlineStr">
        <is>
          <t>deces_cumul</t>
        </is>
      </c>
      <c r="D75" s="21" t="inlineStr">
        <is>
          <t>entier</t>
        </is>
      </c>
      <c r="E75" s="21" t="inlineStr">
        <is>
          <t>Décès confirmés cumulés</t>
        </is>
      </c>
      <c r="F75" s="21" t="inlineStr">
        <is>
          <t>oui</t>
        </is>
      </c>
      <c r="G75" s="21" t="inlineStr"/>
    </row>
    <row r="76">
      <c r="A76" s="21" t="inlineStr">
        <is>
          <t>epi_zs</t>
        </is>
      </c>
      <c r="B76" s="21" t="inlineStr">
        <is>
          <t>Situation par zone de santé (Tableau 2 du SitRep)</t>
        </is>
      </c>
      <c r="C76" s="21" t="inlineStr">
        <is>
          <t>letalite_publiee</t>
        </is>
      </c>
      <c r="D76" s="21" t="inlineStr">
        <is>
          <t>decimal</t>
        </is>
      </c>
      <c r="E76" s="21" t="inlineStr">
        <is>
          <t>Létalité publiée (%)</t>
        </is>
      </c>
      <c r="F76" s="21" t="inlineStr">
        <is>
          <t>non</t>
        </is>
      </c>
      <c r="G76" s="21" t="inlineStr"/>
    </row>
    <row r="77">
      <c r="A77" s="21" t="inlineStr">
        <is>
          <t>epi_zs</t>
        </is>
      </c>
      <c r="B77" s="21" t="inlineStr">
        <is>
          <t>Situation par zone de santé (Tableau 2 du SitRep)</t>
        </is>
      </c>
      <c r="C77" s="21" t="inlineStr">
        <is>
          <t>nouveaux_cas_24h</t>
        </is>
      </c>
      <c r="D77" s="21" t="inlineStr">
        <is>
          <t>entier</t>
        </is>
      </c>
      <c r="E77" s="21" t="inlineStr">
        <is>
          <t>Nouveaux cas (24 h)</t>
        </is>
      </c>
      <c r="F77" s="21" t="inlineStr">
        <is>
          <t>non</t>
        </is>
      </c>
      <c r="G77" s="21" t="inlineStr"/>
    </row>
    <row r="78">
      <c r="A78" s="21" t="inlineStr">
        <is>
          <t>epi_zs</t>
        </is>
      </c>
      <c r="B78" s="21" t="inlineStr">
        <is>
          <t>Situation par zone de santé (Tableau 2 du SitRep)</t>
        </is>
      </c>
      <c r="C78" s="21" t="inlineStr">
        <is>
          <t>deces_communautaires_24h</t>
        </is>
      </c>
      <c r="D78" s="21" t="inlineStr">
        <is>
          <t>entier</t>
        </is>
      </c>
      <c r="E78" s="21" t="inlineStr">
        <is>
          <t>Décès communautaires swab+ (24 h)</t>
        </is>
      </c>
      <c r="F78" s="21" t="inlineStr">
        <is>
          <t>non</t>
        </is>
      </c>
      <c r="G78" s="21" t="inlineStr"/>
    </row>
    <row r="79">
      <c r="A79" s="21" t="inlineStr">
        <is>
          <t>epi_zs</t>
        </is>
      </c>
      <c r="B79" s="21" t="inlineStr">
        <is>
          <t>Situation par zone de santé (Tableau 2 du SitRep)</t>
        </is>
      </c>
      <c r="C79" s="21" t="inlineStr">
        <is>
          <t>deces_cte_24h</t>
        </is>
      </c>
      <c r="D79" s="21" t="inlineStr">
        <is>
          <t>entier</t>
        </is>
      </c>
      <c r="E79" s="21" t="inlineStr">
        <is>
          <t>Décès confirmés intra-CTE (24 h)</t>
        </is>
      </c>
      <c r="F79" s="21" t="inlineStr">
        <is>
          <t>non</t>
        </is>
      </c>
      <c r="G79" s="21" t="inlineStr"/>
    </row>
    <row r="80">
      <c r="A80" s="21" t="inlineStr">
        <is>
          <t>epi_zs</t>
        </is>
      </c>
      <c r="B80" s="21" t="inlineStr">
        <is>
          <t>Situation par zone de santé (Tableau 2 du SitRep)</t>
        </is>
      </c>
      <c r="C80" s="21" t="inlineStr">
        <is>
          <t>deces_total_24h</t>
        </is>
      </c>
      <c r="D80" s="21" t="inlineStr">
        <is>
          <t>entier</t>
        </is>
      </c>
      <c r="E80" s="21" t="inlineStr">
        <is>
          <t>Total des décès confirmés (24 h)</t>
        </is>
      </c>
      <c r="F80" s="21" t="inlineStr">
        <is>
          <t>non</t>
        </is>
      </c>
      <c r="G80" s="21" t="inlineStr"/>
    </row>
    <row r="81">
      <c r="A81" s="21" t="inlineStr">
        <is>
          <t>epi_zs</t>
        </is>
      </c>
      <c r="B81" s="21" t="inlineStr">
        <is>
          <t>Situation par zone de santé (Tableau 2 du SitRep)</t>
        </is>
      </c>
      <c r="C81" s="21" t="inlineStr">
        <is>
          <t>est_a_ventiler</t>
        </is>
      </c>
      <c r="D81" s="21" t="inlineStr">
        <is>
          <t>booleen</t>
        </is>
      </c>
      <c r="E81" s="21" t="inlineStr">
        <is>
          <t>Ligne « à ventiler » (décès non attribués à une ZS)</t>
        </is>
      </c>
      <c r="F81" s="21" t="inlineStr">
        <is>
          <t>non</t>
        </is>
      </c>
      <c r="G81" s="21" t="inlineStr"/>
    </row>
    <row r="82">
      <c r="A82" s="21" t="inlineStr">
        <is>
          <t>alertes_province</t>
        </is>
      </c>
      <c r="B82" s="21" t="inlineStr">
        <is>
          <t>Alertes par province (Tableau 3 du SitRep)</t>
        </is>
      </c>
      <c r="C82" s="21" t="inlineStr">
        <is>
          <t>sitrep_no</t>
        </is>
      </c>
      <c r="D82" s="21" t="inlineStr">
        <is>
          <t>entier</t>
        </is>
      </c>
      <c r="E82" s="21" t="inlineStr">
        <is>
          <t>Numéro du SitRep</t>
        </is>
      </c>
      <c r="F82" s="21" t="inlineStr">
        <is>
          <t>oui</t>
        </is>
      </c>
      <c r="G82" s="21" t="inlineStr"/>
    </row>
    <row r="83">
      <c r="A83" s="21" t="inlineStr">
        <is>
          <t>alertes_province</t>
        </is>
      </c>
      <c r="B83" s="21" t="inlineStr">
        <is>
          <t>Alertes par province (Tableau 3 du SitRep)</t>
        </is>
      </c>
      <c r="C83" s="21" t="inlineStr">
        <is>
          <t>date_rapport</t>
        </is>
      </c>
      <c r="D83" s="21" t="inlineStr">
        <is>
          <t>date</t>
        </is>
      </c>
      <c r="E83" s="21" t="inlineStr">
        <is>
          <t>Date des données</t>
        </is>
      </c>
      <c r="F83" s="21" t="inlineStr">
        <is>
          <t>oui</t>
        </is>
      </c>
      <c r="G83" s="21" t="inlineStr"/>
    </row>
    <row r="84">
      <c r="A84" s="21" t="inlineStr">
        <is>
          <t>alertes_province</t>
        </is>
      </c>
      <c r="B84" s="21" t="inlineStr">
        <is>
          <t>Alertes par province (Tableau 3 du SitRep)</t>
        </is>
      </c>
      <c r="C84" s="21" t="inlineStr">
        <is>
          <t>province</t>
        </is>
      </c>
      <c r="D84" s="21" t="inlineStr">
        <is>
          <t>texte</t>
        </is>
      </c>
      <c r="E84" s="21" t="inlineStr">
        <is>
          <t>Province</t>
        </is>
      </c>
      <c r="F84" s="21" t="inlineStr">
        <is>
          <t>oui</t>
        </is>
      </c>
      <c r="G84" s="21" t="inlineStr">
        <is>
          <t>liste « provinces»</t>
        </is>
      </c>
    </row>
    <row r="85">
      <c r="A85" s="21" t="inlineStr">
        <is>
          <t>alertes_province</t>
        </is>
      </c>
      <c r="B85" s="21" t="inlineStr">
        <is>
          <t>Alertes par province (Tableau 3 du SitRep)</t>
        </is>
      </c>
      <c r="C85" s="21" t="inlineStr">
        <is>
          <t>statut_donnees</t>
        </is>
      </c>
      <c r="D85" s="21" t="inlineStr">
        <is>
          <t>texte</t>
        </is>
      </c>
      <c r="E85" s="21" t="inlineStr">
        <is>
          <t>OK ou ND (non disponible)</t>
        </is>
      </c>
      <c r="F85" s="21" t="inlineStr">
        <is>
          <t>oui</t>
        </is>
      </c>
      <c r="G85" s="21" t="inlineStr">
        <is>
          <t>liste « statut_donnees»</t>
        </is>
      </c>
    </row>
    <row r="86">
      <c r="A86" s="21" t="inlineStr">
        <is>
          <t>alertes_province</t>
        </is>
      </c>
      <c r="B86" s="21" t="inlineStr">
        <is>
          <t>Alertes par province (Tableau 3 du SitRep)</t>
        </is>
      </c>
      <c r="C86" s="21" t="inlineStr">
        <is>
          <t>recues_vivants</t>
        </is>
      </c>
      <c r="D86" s="21" t="inlineStr">
        <is>
          <t>entier</t>
        </is>
      </c>
      <c r="E86" s="21" t="inlineStr">
        <is>
          <t>Alertes reçues : vivants</t>
        </is>
      </c>
      <c r="F86" s="21" t="inlineStr">
        <is>
          <t>non</t>
        </is>
      </c>
      <c r="G86" s="21" t="inlineStr"/>
    </row>
    <row r="87">
      <c r="A87" s="21" t="inlineStr">
        <is>
          <t>alertes_province</t>
        </is>
      </c>
      <c r="B87" s="21" t="inlineStr">
        <is>
          <t>Alertes par province (Tableau 3 du SitRep)</t>
        </is>
      </c>
      <c r="C87" s="21" t="inlineStr">
        <is>
          <t>recues_deces</t>
        </is>
      </c>
      <c r="D87" s="21" t="inlineStr">
        <is>
          <t>entier</t>
        </is>
      </c>
      <c r="E87" s="21" t="inlineStr">
        <is>
          <t>Alertes reçues : décès</t>
        </is>
      </c>
      <c r="F87" s="21" t="inlineStr">
        <is>
          <t>non</t>
        </is>
      </c>
      <c r="G87" s="21" t="inlineStr"/>
    </row>
    <row r="88">
      <c r="A88" s="21" t="inlineStr">
        <is>
          <t>alertes_province</t>
        </is>
      </c>
      <c r="B88" s="21" t="inlineStr">
        <is>
          <t>Alertes par province (Tableau 3 du SitRep)</t>
        </is>
      </c>
      <c r="C88" s="21" t="inlineStr">
        <is>
          <t>recues_total</t>
        </is>
      </c>
      <c r="D88" s="21" t="inlineStr">
        <is>
          <t>entier</t>
        </is>
      </c>
      <c r="E88" s="21" t="inlineStr">
        <is>
          <t>Total des alertes</t>
        </is>
      </c>
      <c r="F88" s="21" t="inlineStr">
        <is>
          <t>non</t>
        </is>
      </c>
      <c r="G88" s="21" t="inlineStr"/>
    </row>
    <row r="89">
      <c r="A89" s="21" t="inlineStr">
        <is>
          <t>alertes_province</t>
        </is>
      </c>
      <c r="B89" s="21" t="inlineStr">
        <is>
          <t>Alertes par province (Tableau 3 du SitRep)</t>
        </is>
      </c>
      <c r="C89" s="21" t="inlineStr">
        <is>
          <t>validees_vivants</t>
        </is>
      </c>
      <c r="D89" s="21" t="inlineStr">
        <is>
          <t>entier</t>
        </is>
      </c>
      <c r="E89" s="21" t="inlineStr">
        <is>
          <t>Validées (cas suspects) : vivants</t>
        </is>
      </c>
      <c r="F89" s="21" t="inlineStr">
        <is>
          <t>non</t>
        </is>
      </c>
      <c r="G89" s="21" t="inlineStr"/>
    </row>
    <row r="90">
      <c r="A90" s="21" t="inlineStr">
        <is>
          <t>alertes_province</t>
        </is>
      </c>
      <c r="B90" s="21" t="inlineStr">
        <is>
          <t>Alertes par province (Tableau 3 du SitRep)</t>
        </is>
      </c>
      <c r="C90" s="21" t="inlineStr">
        <is>
          <t>validees_deces</t>
        </is>
      </c>
      <c r="D90" s="21" t="inlineStr">
        <is>
          <t>entier</t>
        </is>
      </c>
      <c r="E90" s="21" t="inlineStr">
        <is>
          <t>Validées : décès</t>
        </is>
      </c>
      <c r="F90" s="21" t="inlineStr">
        <is>
          <t>non</t>
        </is>
      </c>
      <c r="G90" s="21" t="inlineStr"/>
    </row>
    <row r="91">
      <c r="A91" s="21" t="inlineStr">
        <is>
          <t>alertes_province</t>
        </is>
      </c>
      <c r="B91" s="21" t="inlineStr">
        <is>
          <t>Alertes par province (Tableau 3 du SitRep)</t>
        </is>
      </c>
      <c r="C91" s="21" t="inlineStr">
        <is>
          <t>invalidees_vivants</t>
        </is>
      </c>
      <c r="D91" s="21" t="inlineStr">
        <is>
          <t>entier</t>
        </is>
      </c>
      <c r="E91" s="21" t="inlineStr">
        <is>
          <t>Invalidées : vivants</t>
        </is>
      </c>
      <c r="F91" s="21" t="inlineStr">
        <is>
          <t>non</t>
        </is>
      </c>
      <c r="G91" s="21" t="inlineStr"/>
    </row>
    <row r="92">
      <c r="A92" s="21" t="inlineStr">
        <is>
          <t>alertes_province</t>
        </is>
      </c>
      <c r="B92" s="21" t="inlineStr">
        <is>
          <t>Alertes par province (Tableau 3 du SitRep)</t>
        </is>
      </c>
      <c r="C92" s="21" t="inlineStr">
        <is>
          <t>invalidees_deces</t>
        </is>
      </c>
      <c r="D92" s="21" t="inlineStr">
        <is>
          <t>entier</t>
        </is>
      </c>
      <c r="E92" s="21" t="inlineStr">
        <is>
          <t>Invalidées : décès</t>
        </is>
      </c>
      <c r="F92" s="21" t="inlineStr">
        <is>
          <t>non</t>
        </is>
      </c>
      <c r="G92" s="21" t="inlineStr"/>
    </row>
    <row r="93">
      <c r="A93" s="21" t="inlineStr">
        <is>
          <t>alertes_province</t>
        </is>
      </c>
      <c r="B93" s="21" t="inlineStr">
        <is>
          <t>Alertes par province (Tableau 3 du SitRep)</t>
        </is>
      </c>
      <c r="C93" s="21" t="inlineStr">
        <is>
          <t>suspects_investigues</t>
        </is>
      </c>
      <c r="D93" s="21" t="inlineStr">
        <is>
          <t>entier</t>
        </is>
      </c>
      <c r="E93" s="21" t="inlineStr">
        <is>
          <t>Suspects investigués</t>
        </is>
      </c>
      <c r="F93" s="21" t="inlineStr">
        <is>
          <t>non</t>
        </is>
      </c>
      <c r="G93" s="21" t="inlineStr"/>
    </row>
    <row r="94">
      <c r="A94" s="21" t="inlineStr">
        <is>
          <t>alertes_province</t>
        </is>
      </c>
      <c r="B94" s="21" t="inlineStr">
        <is>
          <t>Alertes par province (Tableau 3 du SitRep)</t>
        </is>
      </c>
      <c r="C94" s="21" t="inlineStr">
        <is>
          <t>suspects_transferes</t>
        </is>
      </c>
      <c r="D94" s="21" t="inlineStr">
        <is>
          <t>entier</t>
        </is>
      </c>
      <c r="E94" s="21" t="inlineStr">
        <is>
          <t>Suspects transférés au CT/CTE</t>
        </is>
      </c>
      <c r="F94" s="21" t="inlineStr">
        <is>
          <t>non</t>
        </is>
      </c>
      <c r="G94" s="21" t="inlineStr"/>
    </row>
    <row r="95">
      <c r="A95" s="21" t="inlineStr">
        <is>
          <t>contacts_province</t>
        </is>
      </c>
      <c r="B95" s="21" t="inlineStr">
        <is>
          <t>Suivi des contacts par province</t>
        </is>
      </c>
      <c r="C95" s="21" t="inlineStr">
        <is>
          <t>sitrep_no</t>
        </is>
      </c>
      <c r="D95" s="21" t="inlineStr">
        <is>
          <t>entier</t>
        </is>
      </c>
      <c r="E95" s="21" t="inlineStr">
        <is>
          <t>Numéro du SitRep</t>
        </is>
      </c>
      <c r="F95" s="21" t="inlineStr">
        <is>
          <t>oui</t>
        </is>
      </c>
      <c r="G95" s="21" t="inlineStr"/>
    </row>
    <row r="96">
      <c r="A96" s="21" t="inlineStr">
        <is>
          <t>contacts_province</t>
        </is>
      </c>
      <c r="B96" s="21" t="inlineStr">
        <is>
          <t>Suivi des contacts par province</t>
        </is>
      </c>
      <c r="C96" s="21" t="inlineStr">
        <is>
          <t>date_rapport</t>
        </is>
      </c>
      <c r="D96" s="21" t="inlineStr">
        <is>
          <t>date</t>
        </is>
      </c>
      <c r="E96" s="21" t="inlineStr">
        <is>
          <t>Date des données</t>
        </is>
      </c>
      <c r="F96" s="21" t="inlineStr">
        <is>
          <t>oui</t>
        </is>
      </c>
      <c r="G96" s="21" t="inlineStr"/>
    </row>
    <row r="97">
      <c r="A97" s="21" t="inlineStr">
        <is>
          <t>contacts_province</t>
        </is>
      </c>
      <c r="B97" s="21" t="inlineStr">
        <is>
          <t>Suivi des contacts par province</t>
        </is>
      </c>
      <c r="C97" s="21" t="inlineStr">
        <is>
          <t>province</t>
        </is>
      </c>
      <c r="D97" s="21" t="inlineStr">
        <is>
          <t>texte</t>
        </is>
      </c>
      <c r="E97" s="21" t="inlineStr">
        <is>
          <t>Province</t>
        </is>
      </c>
      <c r="F97" s="21" t="inlineStr">
        <is>
          <t>oui</t>
        </is>
      </c>
      <c r="G97" s="21" t="inlineStr">
        <is>
          <t>liste « provinces»</t>
        </is>
      </c>
    </row>
    <row r="98">
      <c r="A98" s="21" t="inlineStr">
        <is>
          <t>contacts_province</t>
        </is>
      </c>
      <c r="B98" s="21" t="inlineStr">
        <is>
          <t>Suivi des contacts par province</t>
        </is>
      </c>
      <c r="C98" s="21" t="inlineStr">
        <is>
          <t>statut_donnees</t>
        </is>
      </c>
      <c r="D98" s="21" t="inlineStr">
        <is>
          <t>texte</t>
        </is>
      </c>
      <c r="E98" s="21" t="inlineStr">
        <is>
          <t>OK ou ND</t>
        </is>
      </c>
      <c r="F98" s="21" t="inlineStr">
        <is>
          <t>oui</t>
        </is>
      </c>
      <c r="G98" s="21" t="inlineStr">
        <is>
          <t>liste « statut_donnees»</t>
        </is>
      </c>
    </row>
    <row r="99">
      <c r="A99" s="21" t="inlineStr">
        <is>
          <t>contacts_province</t>
        </is>
      </c>
      <c r="B99" s="21" t="inlineStr">
        <is>
          <t>Suivi des contacts par province</t>
        </is>
      </c>
      <c r="C99" s="21" t="inlineStr">
        <is>
          <t>contacts_suivis</t>
        </is>
      </c>
      <c r="D99" s="21" t="inlineStr">
        <is>
          <t>entier</t>
        </is>
      </c>
      <c r="E99" s="21" t="inlineStr">
        <is>
          <t>Contacts en cours de suivi</t>
        </is>
      </c>
      <c r="F99" s="21" t="inlineStr">
        <is>
          <t>non</t>
        </is>
      </c>
      <c r="G99" s="21" t="inlineStr"/>
    </row>
    <row r="100">
      <c r="A100" s="21" t="inlineStr">
        <is>
          <t>contacts_province</t>
        </is>
      </c>
      <c r="B100" s="21" t="inlineStr">
        <is>
          <t>Suivi des contacts par province</t>
        </is>
      </c>
      <c r="C100" s="21" t="inlineStr">
        <is>
          <t>contacts_vus</t>
        </is>
      </c>
      <c r="D100" s="21" t="inlineStr">
        <is>
          <t>entier</t>
        </is>
      </c>
      <c r="E100" s="21" t="inlineStr">
        <is>
          <t>Contacts vus dans les 24 h</t>
        </is>
      </c>
      <c r="F100" s="21" t="inlineStr">
        <is>
          <t>non</t>
        </is>
      </c>
      <c r="G100" s="21" t="inlineStr"/>
    </row>
    <row r="101">
      <c r="A101" s="21" t="inlineStr">
        <is>
          <t>contacts_province</t>
        </is>
      </c>
      <c r="B101" s="21" t="inlineStr">
        <is>
          <t>Suivi des contacts par province</t>
        </is>
      </c>
      <c r="C101" s="21" t="inlineStr">
        <is>
          <t>taux_publie</t>
        </is>
      </c>
      <c r="D101" s="21" t="inlineStr">
        <is>
          <t>decimal</t>
        </is>
      </c>
      <c r="E101" s="21" t="inlineStr">
        <is>
          <t>Taux publié (%)</t>
        </is>
      </c>
      <c r="F101" s="21" t="inlineStr">
        <is>
          <t>non</t>
        </is>
      </c>
      <c r="G101" s="21" t="inlineStr"/>
    </row>
    <row r="102">
      <c r="A102" s="21" t="inlineStr">
        <is>
          <t>labo_province</t>
        </is>
      </c>
      <c r="B102" s="21" t="inlineStr">
        <is>
          <t>Laboratoire par province</t>
        </is>
      </c>
      <c r="C102" s="21" t="inlineStr">
        <is>
          <t>sitrep_no</t>
        </is>
      </c>
      <c r="D102" s="21" t="inlineStr">
        <is>
          <t>entier</t>
        </is>
      </c>
      <c r="E102" s="21" t="inlineStr">
        <is>
          <t>Numéro du SitRep</t>
        </is>
      </c>
      <c r="F102" s="21" t="inlineStr">
        <is>
          <t>oui</t>
        </is>
      </c>
      <c r="G102" s="21" t="inlineStr"/>
    </row>
    <row r="103">
      <c r="A103" s="21" t="inlineStr">
        <is>
          <t>labo_province</t>
        </is>
      </c>
      <c r="B103" s="21" t="inlineStr">
        <is>
          <t>Laboratoire par province</t>
        </is>
      </c>
      <c r="C103" s="21" t="inlineStr">
        <is>
          <t>date_rapport</t>
        </is>
      </c>
      <c r="D103" s="21" t="inlineStr">
        <is>
          <t>date</t>
        </is>
      </c>
      <c r="E103" s="21" t="inlineStr">
        <is>
          <t>Date des données</t>
        </is>
      </c>
      <c r="F103" s="21" t="inlineStr">
        <is>
          <t>oui</t>
        </is>
      </c>
      <c r="G103" s="21" t="inlineStr"/>
    </row>
    <row r="104">
      <c r="A104" s="21" t="inlineStr">
        <is>
          <t>labo_province</t>
        </is>
      </c>
      <c r="B104" s="21" t="inlineStr">
        <is>
          <t>Laboratoire par province</t>
        </is>
      </c>
      <c r="C104" s="21" t="inlineStr">
        <is>
          <t>province</t>
        </is>
      </c>
      <c r="D104" s="21" t="inlineStr">
        <is>
          <t>texte</t>
        </is>
      </c>
      <c r="E104" s="21" t="inlineStr">
        <is>
          <t>Province</t>
        </is>
      </c>
      <c r="F104" s="21" t="inlineStr">
        <is>
          <t>oui</t>
        </is>
      </c>
      <c r="G104" s="21" t="inlineStr">
        <is>
          <t>liste « provinces»</t>
        </is>
      </c>
    </row>
    <row r="105">
      <c r="A105" s="21" t="inlineStr">
        <is>
          <t>labo_province</t>
        </is>
      </c>
      <c r="B105" s="21" t="inlineStr">
        <is>
          <t>Laboratoire par province</t>
        </is>
      </c>
      <c r="C105" s="21" t="inlineStr">
        <is>
          <t>echantillons</t>
        </is>
      </c>
      <c r="D105" s="21" t="inlineStr">
        <is>
          <t>entier</t>
        </is>
      </c>
      <c r="E105" s="21" t="inlineStr">
        <is>
          <t>Échantillons reçus et analysés</t>
        </is>
      </c>
      <c r="F105" s="21" t="inlineStr">
        <is>
          <t>non</t>
        </is>
      </c>
      <c r="G105" s="21" t="inlineStr"/>
    </row>
    <row r="106">
      <c r="A106" s="21" t="inlineStr">
        <is>
          <t>labo_province</t>
        </is>
      </c>
      <c r="B106" s="21" t="inlineStr">
        <is>
          <t>Laboratoire par province</t>
        </is>
      </c>
      <c r="C106" s="21" t="inlineStr">
        <is>
          <t>positifs</t>
        </is>
      </c>
      <c r="D106" s="21" t="inlineStr">
        <is>
          <t>entier</t>
        </is>
      </c>
      <c r="E106" s="21" t="inlineStr">
        <is>
          <t>Résultats positifs</t>
        </is>
      </c>
      <c r="F106" s="21" t="inlineStr">
        <is>
          <t>non</t>
        </is>
      </c>
      <c r="G106" s="21" t="inlineStr"/>
    </row>
    <row r="107">
      <c r="A107" s="21" t="inlineStr">
        <is>
          <t>labo_province</t>
        </is>
      </c>
      <c r="B107" s="21" t="inlineStr">
        <is>
          <t>Laboratoire par province</t>
        </is>
      </c>
      <c r="C107" s="21" t="inlineStr">
        <is>
          <t>positifs_vivants</t>
        </is>
      </c>
      <c r="D107" s="21" t="inlineStr">
        <is>
          <t>entier</t>
        </is>
      </c>
      <c r="E107" s="21" t="inlineStr">
        <is>
          <t>Positifs vivants</t>
        </is>
      </c>
      <c r="F107" s="21" t="inlineStr">
        <is>
          <t>non</t>
        </is>
      </c>
      <c r="G107" s="21" t="inlineStr"/>
    </row>
    <row r="108">
      <c r="A108" s="21" t="inlineStr">
        <is>
          <t>labo_province</t>
        </is>
      </c>
      <c r="B108" s="21" t="inlineStr">
        <is>
          <t>Laboratoire par province</t>
        </is>
      </c>
      <c r="C108" s="21" t="inlineStr">
        <is>
          <t>positifs_deces</t>
        </is>
      </c>
      <c r="D108" s="21" t="inlineStr">
        <is>
          <t>entier</t>
        </is>
      </c>
      <c r="E108" s="21" t="inlineStr">
        <is>
          <t>Positifs décédés</t>
        </is>
      </c>
      <c r="F108" s="21" t="inlineStr">
        <is>
          <t>non</t>
        </is>
      </c>
      <c r="G108" s="21" t="inlineStr"/>
    </row>
    <row r="109">
      <c r="A109" s="21" t="inlineStr">
        <is>
          <t>labo_province</t>
        </is>
      </c>
      <c r="B109" s="21" t="inlineStr">
        <is>
          <t>Laboratoire par province</t>
        </is>
      </c>
      <c r="C109" s="21" t="inlineStr">
        <is>
          <t>positivite_publiee</t>
        </is>
      </c>
      <c r="D109" s="21" t="inlineStr">
        <is>
          <t>decimal</t>
        </is>
      </c>
      <c r="E109" s="21" t="inlineStr">
        <is>
          <t>Positivité publiée (%)</t>
        </is>
      </c>
      <c r="F109" s="21" t="inlineStr">
        <is>
          <t>non</t>
        </is>
      </c>
      <c r="G109" s="21" t="inlineStr"/>
    </row>
    <row r="110">
      <c r="A110" s="21" t="inlineStr">
        <is>
          <t>labo_province</t>
        </is>
      </c>
      <c r="B110" s="21" t="inlineStr">
        <is>
          <t>Laboratoire par province</t>
        </is>
      </c>
      <c r="C110" s="21" t="inlineStr">
        <is>
          <t>texte_source</t>
        </is>
      </c>
      <c r="D110" s="21" t="inlineStr">
        <is>
          <t>texte</t>
        </is>
      </c>
      <c r="E110" s="21" t="inlineStr">
        <is>
          <t>Phrase source</t>
        </is>
      </c>
      <c r="F110" s="21" t="inlineStr">
        <is>
          <t>non</t>
        </is>
      </c>
      <c r="G110" s="21" t="inlineStr"/>
    </row>
    <row r="111">
      <c r="A111" s="21" t="inlineStr">
        <is>
          <t>pec_province</t>
        </is>
      </c>
      <c r="B111" s="21" t="inlineStr">
        <is>
          <t>Prise en charge par province</t>
        </is>
      </c>
      <c r="C111" s="21" t="inlineStr">
        <is>
          <t>sitrep_no</t>
        </is>
      </c>
      <c r="D111" s="21" t="inlineStr">
        <is>
          <t>entier</t>
        </is>
      </c>
      <c r="E111" s="21" t="inlineStr">
        <is>
          <t>Numéro du SitRep</t>
        </is>
      </c>
      <c r="F111" s="21" t="inlineStr">
        <is>
          <t>oui</t>
        </is>
      </c>
      <c r="G111" s="21" t="inlineStr"/>
    </row>
    <row r="112">
      <c r="A112" s="21" t="inlineStr">
        <is>
          <t>pec_province</t>
        </is>
      </c>
      <c r="B112" s="21" t="inlineStr">
        <is>
          <t>Prise en charge par province</t>
        </is>
      </c>
      <c r="C112" s="21" t="inlineStr">
        <is>
          <t>date_rapport</t>
        </is>
      </c>
      <c r="D112" s="21" t="inlineStr">
        <is>
          <t>date</t>
        </is>
      </c>
      <c r="E112" s="21" t="inlineStr">
        <is>
          <t>Date des données</t>
        </is>
      </c>
      <c r="F112" s="21" t="inlineStr">
        <is>
          <t>oui</t>
        </is>
      </c>
      <c r="G112" s="21" t="inlineStr"/>
    </row>
    <row r="113">
      <c r="A113" s="21" t="inlineStr">
        <is>
          <t>pec_province</t>
        </is>
      </c>
      <c r="B113" s="21" t="inlineStr">
        <is>
          <t>Prise en charge par province</t>
        </is>
      </c>
      <c r="C113" s="21" t="inlineStr">
        <is>
          <t>province</t>
        </is>
      </c>
      <c r="D113" s="21" t="inlineStr">
        <is>
          <t>texte</t>
        </is>
      </c>
      <c r="E113" s="21" t="inlineStr">
        <is>
          <t>Province</t>
        </is>
      </c>
      <c r="F113" s="21" t="inlineStr">
        <is>
          <t>oui</t>
        </is>
      </c>
      <c r="G113" s="21" t="inlineStr">
        <is>
          <t>liste « provinces»</t>
        </is>
      </c>
    </row>
    <row r="114">
      <c r="A114" s="21" t="inlineStr">
        <is>
          <t>pec_province</t>
        </is>
      </c>
      <c r="B114" s="21" t="inlineStr">
        <is>
          <t>Prise en charge par province</t>
        </is>
      </c>
      <c r="C114" s="21" t="inlineStr">
        <is>
          <t>admissions</t>
        </is>
      </c>
      <c r="D114" s="21" t="inlineStr">
        <is>
          <t>entier</t>
        </is>
      </c>
      <c r="E114" s="21" t="inlineStr">
        <is>
          <t>Nouvelles admissions</t>
        </is>
      </c>
      <c r="F114" s="21" t="inlineStr">
        <is>
          <t>non</t>
        </is>
      </c>
      <c r="G114" s="21" t="inlineStr"/>
    </row>
    <row r="115">
      <c r="A115" s="21" t="inlineStr">
        <is>
          <t>pec_province</t>
        </is>
      </c>
      <c r="B115" s="21" t="inlineStr">
        <is>
          <t>Prise en charge par province</t>
        </is>
      </c>
      <c r="C115" s="21" t="inlineStr">
        <is>
          <t>sorties</t>
        </is>
      </c>
      <c r="D115" s="21" t="inlineStr">
        <is>
          <t>entier</t>
        </is>
      </c>
      <c r="E115" s="21" t="inlineStr">
        <is>
          <t>Sorties</t>
        </is>
      </c>
      <c r="F115" s="21" t="inlineStr">
        <is>
          <t>non</t>
        </is>
      </c>
      <c r="G115" s="21" t="inlineStr"/>
    </row>
    <row r="116">
      <c r="A116" s="21" t="inlineStr">
        <is>
          <t>pec_province</t>
        </is>
      </c>
      <c r="B116" s="21" t="inlineStr">
        <is>
          <t>Prise en charge par province</t>
        </is>
      </c>
      <c r="C116" s="21" t="inlineStr">
        <is>
          <t>guerisons</t>
        </is>
      </c>
      <c r="D116" s="21" t="inlineStr">
        <is>
          <t>entier</t>
        </is>
      </c>
      <c r="E116" s="21" t="inlineStr">
        <is>
          <t>Guérisons</t>
        </is>
      </c>
      <c r="F116" s="21" t="inlineStr">
        <is>
          <t>non</t>
        </is>
      </c>
      <c r="G116" s="21" t="inlineStr"/>
    </row>
    <row r="117">
      <c r="A117" s="21" t="inlineStr">
        <is>
          <t>pec_province</t>
        </is>
      </c>
      <c r="B117" s="21" t="inlineStr">
        <is>
          <t>Prise en charge par province</t>
        </is>
      </c>
      <c r="C117" s="21" t="inlineStr">
        <is>
          <t>patients_isolement</t>
        </is>
      </c>
      <c r="D117" s="21" t="inlineStr">
        <is>
          <t>entier</t>
        </is>
      </c>
      <c r="E117" s="21" t="inlineStr">
        <is>
          <t>Patients en isolement en fin de journée</t>
        </is>
      </c>
      <c r="F117" s="21" t="inlineStr">
        <is>
          <t>non</t>
        </is>
      </c>
      <c r="G117" s="21" t="inlineStr"/>
    </row>
    <row r="118">
      <c r="A118" s="21" t="inlineStr">
        <is>
          <t>pec_province</t>
        </is>
      </c>
      <c r="B118" s="21" t="inlineStr">
        <is>
          <t>Prise en charge par province</t>
        </is>
      </c>
      <c r="C118" s="21" t="inlineStr">
        <is>
          <t>texte_source</t>
        </is>
      </c>
      <c r="D118" s="21" t="inlineStr">
        <is>
          <t>texte</t>
        </is>
      </c>
      <c r="E118" s="21" t="inlineStr">
        <is>
          <t>Phrase source</t>
        </is>
      </c>
      <c r="F118" s="21" t="inlineStr">
        <is>
          <t>non</t>
        </is>
      </c>
      <c r="G118" s="21" t="inlineStr"/>
    </row>
    <row r="119">
      <c r="A119" s="21" t="inlineStr">
        <is>
          <t>poe_province</t>
        </is>
      </c>
      <c r="B119" s="21" t="inlineStr">
        <is>
          <t>Indicateurs PoE/PoC (Tableau 4 du SitRep)</t>
        </is>
      </c>
      <c r="C119" s="21" t="inlineStr">
        <is>
          <t>sitrep_no</t>
        </is>
      </c>
      <c r="D119" s="21" t="inlineStr">
        <is>
          <t>entier</t>
        </is>
      </c>
      <c r="E119" s="21" t="inlineStr">
        <is>
          <t>Numéro du SitRep</t>
        </is>
      </c>
      <c r="F119" s="21" t="inlineStr">
        <is>
          <t>oui</t>
        </is>
      </c>
      <c r="G119" s="21" t="inlineStr"/>
    </row>
    <row r="120">
      <c r="A120" s="21" t="inlineStr">
        <is>
          <t>poe_province</t>
        </is>
      </c>
      <c r="B120" s="21" t="inlineStr">
        <is>
          <t>Indicateurs PoE/PoC (Tableau 4 du SitRep)</t>
        </is>
      </c>
      <c r="C120" s="21" t="inlineStr">
        <is>
          <t>date_rapport</t>
        </is>
      </c>
      <c r="D120" s="21" t="inlineStr">
        <is>
          <t>date</t>
        </is>
      </c>
      <c r="E120" s="21" t="inlineStr">
        <is>
          <t>Date des données</t>
        </is>
      </c>
      <c r="F120" s="21" t="inlineStr">
        <is>
          <t>oui</t>
        </is>
      </c>
      <c r="G120" s="21" t="inlineStr"/>
    </row>
    <row r="121">
      <c r="A121" s="21" t="inlineStr">
        <is>
          <t>poe_province</t>
        </is>
      </c>
      <c r="B121" s="21" t="inlineStr">
        <is>
          <t>Indicateurs PoE/PoC (Tableau 4 du SitRep)</t>
        </is>
      </c>
      <c r="C121" s="21" t="inlineStr">
        <is>
          <t>indicateur</t>
        </is>
      </c>
      <c r="D121" s="21" t="inlineStr">
        <is>
          <t>texte</t>
        </is>
      </c>
      <c r="E121" s="21" t="inlineStr">
        <is>
          <t>Libellé de l'indicateur</t>
        </is>
      </c>
      <c r="F121" s="21" t="inlineStr">
        <is>
          <t>oui</t>
        </is>
      </c>
      <c r="G121" s="21" t="inlineStr"/>
    </row>
    <row r="122">
      <c r="A122" s="21" t="inlineStr">
        <is>
          <t>poe_province</t>
        </is>
      </c>
      <c r="B122" s="21" t="inlineStr">
        <is>
          <t>Indicateurs PoE/PoC (Tableau 4 du SitRep)</t>
        </is>
      </c>
      <c r="C122" s="21" t="inlineStr">
        <is>
          <t>province</t>
        </is>
      </c>
      <c r="D122" s="21" t="inlineStr">
        <is>
          <t>texte</t>
        </is>
      </c>
      <c r="E122" s="21" t="inlineStr">
        <is>
          <t>Province ou Global</t>
        </is>
      </c>
      <c r="F122" s="21" t="inlineStr">
        <is>
          <t>oui</t>
        </is>
      </c>
      <c r="G122" s="21" t="inlineStr"/>
    </row>
    <row r="123">
      <c r="A123" s="21" t="inlineStr">
        <is>
          <t>poe_province</t>
        </is>
      </c>
      <c r="B123" s="21" t="inlineStr">
        <is>
          <t>Indicateurs PoE/PoC (Tableau 4 du SitRep)</t>
        </is>
      </c>
      <c r="C123" s="21" t="inlineStr">
        <is>
          <t>valeur_texte</t>
        </is>
      </c>
      <c r="D123" s="21" t="inlineStr">
        <is>
          <t>texte</t>
        </is>
      </c>
      <c r="E123" s="21" t="inlineStr">
        <is>
          <t>Valeur telle que publiée</t>
        </is>
      </c>
      <c r="F123" s="21" t="inlineStr">
        <is>
          <t>non</t>
        </is>
      </c>
      <c r="G123" s="21" t="inlineStr"/>
    </row>
    <row r="124">
      <c r="A124" s="21" t="inlineStr">
        <is>
          <t>poe_province</t>
        </is>
      </c>
      <c r="B124" s="21" t="inlineStr">
        <is>
          <t>Indicateurs PoE/PoC (Tableau 4 du SitRep)</t>
        </is>
      </c>
      <c r="C124" s="21" t="inlineStr">
        <is>
          <t>valeur</t>
        </is>
      </c>
      <c r="D124" s="21" t="inlineStr">
        <is>
          <t>decimal</t>
        </is>
      </c>
      <c r="E124" s="21" t="inlineStr">
        <is>
          <t>Valeur numérique</t>
        </is>
      </c>
      <c r="F124" s="21" t="inlineStr">
        <is>
          <t>non</t>
        </is>
      </c>
      <c r="G124" s="21" t="inlineStr"/>
    </row>
    <row r="125">
      <c r="A125" s="21" t="inlineStr">
        <is>
          <t>poe_province</t>
        </is>
      </c>
      <c r="B125" s="21" t="inlineStr">
        <is>
          <t>Indicateurs PoE/PoC (Tableau 4 du SitRep)</t>
        </is>
      </c>
      <c r="C125" s="21" t="inlineStr">
        <is>
          <t>numerateur</t>
        </is>
      </c>
      <c r="D125" s="21" t="inlineStr">
        <is>
          <t>decimal</t>
        </is>
      </c>
      <c r="E125" s="21" t="inlineStr">
        <is>
          <t>Numérateur (si publié)</t>
        </is>
      </c>
      <c r="F125" s="21" t="inlineStr">
        <is>
          <t>non</t>
        </is>
      </c>
      <c r="G125" s="21" t="inlineStr"/>
    </row>
    <row r="126">
      <c r="A126" s="21" t="inlineStr">
        <is>
          <t>poe_province</t>
        </is>
      </c>
      <c r="B126" s="21" t="inlineStr">
        <is>
          <t>Indicateurs PoE/PoC (Tableau 4 du SitRep)</t>
        </is>
      </c>
      <c r="C126" s="21" t="inlineStr">
        <is>
          <t>denominateur</t>
        </is>
      </c>
      <c r="D126" s="21" t="inlineStr">
        <is>
          <t>decimal</t>
        </is>
      </c>
      <c r="E126" s="21" t="inlineStr">
        <is>
          <t>Dénominateur (si publié)</t>
        </is>
      </c>
      <c r="F126" s="21" t="inlineStr">
        <is>
          <t>non</t>
        </is>
      </c>
      <c r="G126" s="21" t="inlineStr"/>
    </row>
    <row r="127">
      <c r="A127" s="21" t="inlineStr">
        <is>
          <t>sitrep_texte</t>
        </is>
      </c>
      <c r="B127" s="21" t="inlineStr">
        <is>
          <t>Texte des SitReps par section (pour recherche et contrôle)</t>
        </is>
      </c>
      <c r="C127" s="21" t="inlineStr">
        <is>
          <t>sitrep_no</t>
        </is>
      </c>
      <c r="D127" s="21" t="inlineStr">
        <is>
          <t>entier</t>
        </is>
      </c>
      <c r="E127" s="21" t="inlineStr">
        <is>
          <t>Numéro du SitRep</t>
        </is>
      </c>
      <c r="F127" s="21" t="inlineStr">
        <is>
          <t>oui</t>
        </is>
      </c>
      <c r="G127" s="21" t="inlineStr"/>
    </row>
    <row r="128">
      <c r="A128" s="21" t="inlineStr">
        <is>
          <t>sitrep_texte</t>
        </is>
      </c>
      <c r="B128" s="21" t="inlineStr">
        <is>
          <t>Texte des SitReps par section (pour recherche et contrôle)</t>
        </is>
      </c>
      <c r="C128" s="21" t="inlineStr">
        <is>
          <t>ordre</t>
        </is>
      </c>
      <c r="D128" s="21" t="inlineStr">
        <is>
          <t>entier</t>
        </is>
      </c>
      <c r="E128" s="21" t="inlineStr">
        <is>
          <t>Ordre du paragraphe</t>
        </is>
      </c>
      <c r="F128" s="21" t="inlineStr">
        <is>
          <t>oui</t>
        </is>
      </c>
      <c r="G128" s="21" t="inlineStr"/>
    </row>
    <row r="129">
      <c r="A129" s="21" t="inlineStr">
        <is>
          <t>sitrep_texte</t>
        </is>
      </c>
      <c r="B129" s="21" t="inlineStr">
        <is>
          <t>Texte des SitReps par section (pour recherche et contrôle)</t>
        </is>
      </c>
      <c r="C129" s="21" t="inlineStr">
        <is>
          <t>section</t>
        </is>
      </c>
      <c r="D129" s="21" t="inlineStr">
        <is>
          <t>texte</t>
        </is>
      </c>
      <c r="E129" s="21" t="inlineStr">
        <is>
          <t>Pilier ou section</t>
        </is>
      </c>
      <c r="F129" s="21" t="inlineStr">
        <is>
          <t>non</t>
        </is>
      </c>
      <c r="G129" s="21" t="inlineStr"/>
    </row>
    <row r="130">
      <c r="A130" s="21" t="inlineStr">
        <is>
          <t>sitrep_texte</t>
        </is>
      </c>
      <c r="B130" s="21" t="inlineStr">
        <is>
          <t>Texte des SitReps par section (pour recherche et contrôle)</t>
        </is>
      </c>
      <c r="C130" s="21" t="inlineStr">
        <is>
          <t>sous_section</t>
        </is>
      </c>
      <c r="D130" s="21" t="inlineStr">
        <is>
          <t>texte</t>
        </is>
      </c>
      <c r="E130" s="21" t="inlineStr">
        <is>
          <t>Principales actions / Défis</t>
        </is>
      </c>
      <c r="F130" s="21" t="inlineStr">
        <is>
          <t>non</t>
        </is>
      </c>
      <c r="G130" s="21" t="inlineStr"/>
    </row>
    <row r="131">
      <c r="A131" s="21" t="inlineStr">
        <is>
          <t>sitrep_texte</t>
        </is>
      </c>
      <c r="B131" s="21" t="inlineStr">
        <is>
          <t>Texte des SitReps par section (pour recherche et contrôle)</t>
        </is>
      </c>
      <c r="C131" s="21" t="inlineStr">
        <is>
          <t>texte</t>
        </is>
      </c>
      <c r="D131" s="21" t="inlineStr">
        <is>
          <t>texte</t>
        </is>
      </c>
      <c r="E131" s="21" t="inlineStr">
        <is>
          <t>Paragraphe</t>
        </is>
      </c>
      <c r="F131" s="21" t="inlineStr">
        <is>
          <t>oui</t>
        </is>
      </c>
      <c r="G131" s="21" t="inlineStr"/>
    </row>
    <row r="132">
      <c r="A132" s="21" t="inlineStr">
        <is>
          <t>historique</t>
        </is>
      </c>
      <c r="B132" s="21" t="inlineStr">
        <is>
          <t>Points de référence issus d'autres documents</t>
        </is>
      </c>
      <c r="C132" s="21" t="inlineStr">
        <is>
          <t>date_reference</t>
        </is>
      </c>
      <c r="D132" s="21" t="inlineStr">
        <is>
          <t>date</t>
        </is>
      </c>
      <c r="E132" s="21" t="inlineStr">
        <is>
          <t>Date à laquelle se rapporte la valeur</t>
        </is>
      </c>
      <c r="F132" s="21" t="inlineStr">
        <is>
          <t>oui</t>
        </is>
      </c>
      <c r="G132" s="21" t="inlineStr"/>
    </row>
    <row r="133">
      <c r="A133" s="21" t="inlineStr">
        <is>
          <t>historique</t>
        </is>
      </c>
      <c r="B133" s="21" t="inlineStr">
        <is>
          <t>Points de référence issus d'autres documents</t>
        </is>
      </c>
      <c r="C133" s="21" t="inlineStr">
        <is>
          <t>source</t>
        </is>
      </c>
      <c r="D133" s="21" t="inlineStr">
        <is>
          <t>texte</t>
        </is>
      </c>
      <c r="E133" s="21" t="inlineStr">
        <is>
          <t>Document d'origine</t>
        </is>
      </c>
      <c r="F133" s="21" t="inlineStr">
        <is>
          <t>oui</t>
        </is>
      </c>
      <c r="G133" s="21" t="inlineStr"/>
    </row>
    <row r="134">
      <c r="A134" s="21" t="inlineStr">
        <is>
          <t>historique</t>
        </is>
      </c>
      <c r="B134" s="21" t="inlineStr">
        <is>
          <t>Points de référence issus d'autres documents</t>
        </is>
      </c>
      <c r="C134" s="21" t="inlineStr">
        <is>
          <t>territoire</t>
        </is>
      </c>
      <c r="D134" s="21" t="inlineStr">
        <is>
          <t>texte</t>
        </is>
      </c>
      <c r="E134" s="21" t="inlineStr">
        <is>
          <t>National ou province</t>
        </is>
      </c>
      <c r="F134" s="21" t="inlineStr">
        <is>
          <t>oui</t>
        </is>
      </c>
      <c r="G134" s="21" t="inlineStr"/>
    </row>
    <row r="135">
      <c r="A135" s="21" t="inlineStr">
        <is>
          <t>historique</t>
        </is>
      </c>
      <c r="B135" s="21" t="inlineStr">
        <is>
          <t>Points de référence issus d'autres documents</t>
        </is>
      </c>
      <c r="C135" s="21" t="inlineStr">
        <is>
          <t>indicateur</t>
        </is>
      </c>
      <c r="D135" s="21" t="inlineStr">
        <is>
          <t>texte</t>
        </is>
      </c>
      <c r="E135" s="21" t="inlineStr">
        <is>
          <t>Indicateur</t>
        </is>
      </c>
      <c r="F135" s="21" t="inlineStr">
        <is>
          <t>oui</t>
        </is>
      </c>
      <c r="G135" s="21" t="inlineStr"/>
    </row>
    <row r="136">
      <c r="A136" s="21" t="inlineStr">
        <is>
          <t>historique</t>
        </is>
      </c>
      <c r="B136" s="21" t="inlineStr">
        <is>
          <t>Points de référence issus d'autres documents</t>
        </is>
      </c>
      <c r="C136" s="21" t="inlineStr">
        <is>
          <t>valeur</t>
        </is>
      </c>
      <c r="D136" s="21" t="inlineStr">
        <is>
          <t>decimal</t>
        </is>
      </c>
      <c r="E136" s="21" t="inlineStr">
        <is>
          <t>Valeur</t>
        </is>
      </c>
      <c r="F136" s="21" t="inlineStr">
        <is>
          <t>oui</t>
        </is>
      </c>
      <c r="G136" s="21" t="inlineStr"/>
    </row>
    <row r="137">
      <c r="A137" s="21" t="inlineStr">
        <is>
          <t>historique</t>
        </is>
      </c>
      <c r="B137" s="21" t="inlineStr">
        <is>
          <t>Points de référence issus d'autres documents</t>
        </is>
      </c>
      <c r="C137" s="21" t="inlineStr">
        <is>
          <t>commentaire</t>
        </is>
      </c>
      <c r="D137" s="21" t="inlineStr">
        <is>
          <t>texte</t>
        </is>
      </c>
      <c r="E137" s="21" t="inlineStr">
        <is>
          <t>Remarque</t>
        </is>
      </c>
      <c r="F137" s="21" t="inlineStr">
        <is>
          <t>non</t>
        </is>
      </c>
      <c r="G137" s="21" t="inlineStr"/>
    </row>
    <row r="138">
      <c r="A138" s="21" t="inlineStr">
        <is>
          <t>saisie_hebdo</t>
        </is>
      </c>
      <c r="B138" s="21" t="inlineStr">
        <is>
          <t>Saisie hebdomadaire des IP (format long : une ligne = un indicateur, une ZS, une semaine)</t>
        </is>
      </c>
      <c r="C138" s="21" t="inlineStr">
        <is>
          <t>annee</t>
        </is>
      </c>
      <c r="D138" s="21" t="inlineStr">
        <is>
          <t>entier</t>
        </is>
      </c>
      <c r="E138" s="21" t="inlineStr">
        <is>
          <t>Année</t>
        </is>
      </c>
      <c r="F138" s="21" t="inlineStr">
        <is>
          <t>oui</t>
        </is>
      </c>
      <c r="G138" s="21" t="inlineStr"/>
    </row>
    <row r="139">
      <c r="A139" s="21" t="inlineStr">
        <is>
          <t>saisie_hebdo</t>
        </is>
      </c>
      <c r="B139" s="21" t="inlineStr">
        <is>
          <t>Saisie hebdomadaire des IP (format long : une ligne = un indicateur, une ZS, une semaine)</t>
        </is>
      </c>
      <c r="C139" s="21" t="inlineStr">
        <is>
          <t>periode</t>
        </is>
      </c>
      <c r="D139" s="21" t="inlineStr">
        <is>
          <t>texte</t>
        </is>
      </c>
      <c r="E139" s="21" t="inlineStr">
        <is>
          <t>S36, S37... ou période agrégée (S20-S35)</t>
        </is>
      </c>
      <c r="F139" s="21" t="inlineStr">
        <is>
          <t>oui</t>
        </is>
      </c>
      <c r="G139" s="21" t="inlineStr"/>
    </row>
    <row r="140">
      <c r="A140" s="21" t="inlineStr">
        <is>
          <t>saisie_hebdo</t>
        </is>
      </c>
      <c r="B140" s="21" t="inlineStr">
        <is>
          <t>Saisie hebdomadaire des IP (format long : une ligne = un indicateur, une ZS, une semaine)</t>
        </is>
      </c>
      <c r="C140" s="21" t="inlineStr">
        <is>
          <t>semaine_iso</t>
        </is>
      </c>
      <c r="D140" s="21" t="inlineStr">
        <is>
          <t>entier</t>
        </is>
      </c>
      <c r="E140" s="21" t="inlineStr">
        <is>
          <t>Numéro de semaine ISO (vide si période agrégée)</t>
        </is>
      </c>
      <c r="F140" s="21" t="inlineStr">
        <is>
          <t>non</t>
        </is>
      </c>
      <c r="G140" s="21" t="inlineStr"/>
    </row>
    <row r="141">
      <c r="A141" s="21" t="inlineStr">
        <is>
          <t>saisie_hebdo</t>
        </is>
      </c>
      <c r="B141" s="21" t="inlineStr">
        <is>
          <t>Saisie hebdomadaire des IP (format long : une ligne = un indicateur, une ZS, une semaine)</t>
        </is>
      </c>
      <c r="C141" s="21" t="inlineStr">
        <is>
          <t>date_debut</t>
        </is>
      </c>
      <c r="D141" s="21" t="inlineStr">
        <is>
          <t>date</t>
        </is>
      </c>
      <c r="E141" s="21" t="inlineStr">
        <is>
          <t>Premier jour de la période</t>
        </is>
      </c>
      <c r="F141" s="21" t="inlineStr">
        <is>
          <t>oui</t>
        </is>
      </c>
      <c r="G141" s="21" t="inlineStr"/>
    </row>
    <row r="142">
      <c r="A142" s="21" t="inlineStr">
        <is>
          <t>saisie_hebdo</t>
        </is>
      </c>
      <c r="B142" s="21" t="inlineStr">
        <is>
          <t>Saisie hebdomadaire des IP (format long : une ligne = un indicateur, une ZS, une semaine)</t>
        </is>
      </c>
      <c r="C142" s="21" t="inlineStr">
        <is>
          <t>date_fin</t>
        </is>
      </c>
      <c r="D142" s="21" t="inlineStr">
        <is>
          <t>date</t>
        </is>
      </c>
      <c r="E142" s="21" t="inlineStr">
        <is>
          <t>Dernier jour de la période</t>
        </is>
      </c>
      <c r="F142" s="21" t="inlineStr">
        <is>
          <t>oui</t>
        </is>
      </c>
      <c r="G142" s="21" t="inlineStr"/>
    </row>
    <row r="143">
      <c r="A143" s="21" t="inlineStr">
        <is>
          <t>saisie_hebdo</t>
        </is>
      </c>
      <c r="B143" s="21" t="inlineStr">
        <is>
          <t>Saisie hebdomadaire des IP (format long : une ligne = un indicateur, une ZS, une semaine)</t>
        </is>
      </c>
      <c r="C143" s="21" t="inlineStr">
        <is>
          <t>ip</t>
        </is>
      </c>
      <c r="D143" s="21" t="inlineStr">
        <is>
          <t>texte</t>
        </is>
      </c>
      <c r="E143" s="21" t="inlineStr">
        <is>
          <t>Partenaire</t>
        </is>
      </c>
      <c r="F143" s="21" t="inlineStr">
        <is>
          <t>oui</t>
        </is>
      </c>
      <c r="G143" s="21" t="inlineStr">
        <is>
          <t>liste « ip»</t>
        </is>
      </c>
    </row>
    <row r="144">
      <c r="A144" s="21" t="inlineStr">
        <is>
          <t>saisie_hebdo</t>
        </is>
      </c>
      <c r="B144" s="21" t="inlineStr">
        <is>
          <t>Saisie hebdomadaire des IP (format long : une ligne = un indicateur, une ZS, une semaine)</t>
        </is>
      </c>
      <c r="C144" s="21" t="inlineStr">
        <is>
          <t>province</t>
        </is>
      </c>
      <c r="D144" s="21" t="inlineStr">
        <is>
          <t>texte</t>
        </is>
      </c>
      <c r="E144" s="21" t="inlineStr">
        <is>
          <t>Province</t>
        </is>
      </c>
      <c r="F144" s="21" t="inlineStr">
        <is>
          <t>oui</t>
        </is>
      </c>
      <c r="G144" s="21" t="inlineStr">
        <is>
          <t>liste « provinces»</t>
        </is>
      </c>
    </row>
    <row r="145">
      <c r="A145" s="21" t="inlineStr">
        <is>
          <t>saisie_hebdo</t>
        </is>
      </c>
      <c r="B145" s="21" t="inlineStr">
        <is>
          <t>Saisie hebdomadaire des IP (format long : une ligne = un indicateur, une ZS, une semaine)</t>
        </is>
      </c>
      <c r="C145" s="21" t="inlineStr">
        <is>
          <t>zone_sante</t>
        </is>
      </c>
      <c r="D145" s="21" t="inlineStr">
        <is>
          <t>texte</t>
        </is>
      </c>
      <c r="E145" s="21" t="inlineStr">
        <is>
          <t>Zone de santé (vide si non ventilé)</t>
        </is>
      </c>
      <c r="F145" s="21" t="inlineStr">
        <is>
          <t>non</t>
        </is>
      </c>
      <c r="G145" s="21" t="inlineStr"/>
    </row>
    <row r="146">
      <c r="A146" s="21" t="inlineStr">
        <is>
          <t>saisie_hebdo</t>
        </is>
      </c>
      <c r="B146" s="21" t="inlineStr">
        <is>
          <t>Saisie hebdomadaire des IP (format long : une ligne = un indicateur, une ZS, une semaine)</t>
        </is>
      </c>
      <c r="C146" s="21" t="inlineStr">
        <is>
          <t>id_indicateur</t>
        </is>
      </c>
      <c r="D146" s="21" t="inlineStr">
        <is>
          <t>texte</t>
        </is>
      </c>
      <c r="E146" s="21" t="inlineStr">
        <is>
          <t>Identifiant de la matrice maîtresse</t>
        </is>
      </c>
      <c r="F146" s="21" t="inlineStr">
        <is>
          <t>oui</t>
        </is>
      </c>
      <c r="G146" s="21" t="inlineStr"/>
    </row>
    <row r="147">
      <c r="A147" s="21" t="inlineStr">
        <is>
          <t>saisie_hebdo</t>
        </is>
      </c>
      <c r="B147" s="21" t="inlineStr">
        <is>
          <t>Saisie hebdomadaire des IP (format long : une ligne = un indicateur, une ZS, une semaine)</t>
        </is>
      </c>
      <c r="C147" s="21" t="inlineStr">
        <is>
          <t>libelle_indicateur</t>
        </is>
      </c>
      <c r="D147" s="21" t="inlineStr">
        <is>
          <t>texte</t>
        </is>
      </c>
      <c r="E147" s="21" t="inlineStr">
        <is>
          <t>Rappel de l'intitulé</t>
        </is>
      </c>
      <c r="F147" s="21" t="inlineStr">
        <is>
          <t>non</t>
        </is>
      </c>
      <c r="G147" s="21" t="inlineStr"/>
    </row>
    <row r="148">
      <c r="A148" s="21" t="inlineStr">
        <is>
          <t>saisie_hebdo</t>
        </is>
      </c>
      <c r="B148" s="21" t="inlineStr">
        <is>
          <t>Saisie hebdomadaire des IP (format long : une ligne = un indicateur, une ZS, une semaine)</t>
        </is>
      </c>
      <c r="C148" s="21" t="inlineStr">
        <is>
          <t>desagregation</t>
        </is>
      </c>
      <c r="D148" s="21" t="inlineStr">
        <is>
          <t>texte</t>
        </is>
      </c>
      <c r="E148" s="21" t="inlineStr">
        <is>
          <t>Catégorie de désagrégation (ex. canal=VAD, sexe=F)</t>
        </is>
      </c>
      <c r="F148" s="21" t="inlineStr">
        <is>
          <t>non</t>
        </is>
      </c>
      <c r="G148" s="21" t="inlineStr"/>
    </row>
    <row r="149">
      <c r="A149" s="21" t="inlineStr">
        <is>
          <t>saisie_hebdo</t>
        </is>
      </c>
      <c r="B149" s="21" t="inlineStr">
        <is>
          <t>Saisie hebdomadaire des IP (format long : une ligne = un indicateur, une ZS, une semaine)</t>
        </is>
      </c>
      <c r="C149" s="21" t="inlineStr">
        <is>
          <t>numerateur</t>
        </is>
      </c>
      <c r="D149" s="21" t="inlineStr">
        <is>
          <t>decimal</t>
        </is>
      </c>
      <c r="E149" s="21" t="inlineStr">
        <is>
          <t>Numérateur (ou valeur pour un nombre)</t>
        </is>
      </c>
      <c r="F149" s="21" t="inlineStr">
        <is>
          <t>oui</t>
        </is>
      </c>
      <c r="G149" s="21" t="inlineStr"/>
    </row>
    <row r="150">
      <c r="A150" s="21" t="inlineStr">
        <is>
          <t>saisie_hebdo</t>
        </is>
      </c>
      <c r="B150" s="21" t="inlineStr">
        <is>
          <t>Saisie hebdomadaire des IP (format long : une ligne = un indicateur, une ZS, une semaine)</t>
        </is>
      </c>
      <c r="C150" s="21" t="inlineStr">
        <is>
          <t>denominateur</t>
        </is>
      </c>
      <c r="D150" s="21" t="inlineStr">
        <is>
          <t>decimal</t>
        </is>
      </c>
      <c r="E150" s="21" t="inlineStr">
        <is>
          <t>Dénominateur (pourcentages uniquement)</t>
        </is>
      </c>
      <c r="F150" s="21" t="inlineStr">
        <is>
          <t>non</t>
        </is>
      </c>
      <c r="G150" s="21" t="inlineStr"/>
    </row>
    <row r="151">
      <c r="A151" s="21" t="inlineStr">
        <is>
          <t>saisie_hebdo</t>
        </is>
      </c>
      <c r="B151" s="21" t="inlineStr">
        <is>
          <t>Saisie hebdomadaire des IP (format long : une ligne = un indicateur, une ZS, une semaine)</t>
        </is>
      </c>
      <c r="C151" s="21" t="inlineStr">
        <is>
          <t>valeur</t>
        </is>
      </c>
      <c r="D151" s="21" t="inlineStr">
        <is>
          <t>formule</t>
        </is>
      </c>
      <c r="E151" s="21" t="inlineStr">
        <is>
          <t>Valeur calculée par formule (numérateur/dénominateur x 100, ou numérateur)</t>
        </is>
      </c>
      <c r="F151" s="21" t="inlineStr">
        <is>
          <t>non</t>
        </is>
      </c>
      <c r="G151" s="21" t="inlineStr"/>
    </row>
    <row r="152">
      <c r="A152" s="21" t="inlineStr">
        <is>
          <t>saisie_hebdo</t>
        </is>
      </c>
      <c r="B152" s="21" t="inlineStr">
        <is>
          <t>Saisie hebdomadaire des IP (format long : une ligne = un indicateur, une ZS, une semaine)</t>
        </is>
      </c>
      <c r="C152" s="21" t="inlineStr">
        <is>
          <t>source_saisie</t>
        </is>
      </c>
      <c r="D152" s="21" t="inlineStr">
        <is>
          <t>texte</t>
        </is>
      </c>
      <c r="E152" s="21" t="inlineStr">
        <is>
          <t>ODK / registre / classeur historique</t>
        </is>
      </c>
      <c r="F152" s="21" t="inlineStr">
        <is>
          <t>non</t>
        </is>
      </c>
      <c r="G152" s="21" t="inlineStr"/>
    </row>
    <row r="153">
      <c r="A153" s="21" t="inlineStr">
        <is>
          <t>saisie_hebdo</t>
        </is>
      </c>
      <c r="B153" s="21" t="inlineStr">
        <is>
          <t>Saisie hebdomadaire des IP (format long : une ligne = un indicateur, une ZS, une semaine)</t>
        </is>
      </c>
      <c r="C153" s="21" t="inlineStr">
        <is>
          <t>saisi_par</t>
        </is>
      </c>
      <c r="D153" s="21" t="inlineStr">
        <is>
          <t>texte</t>
        </is>
      </c>
      <c r="E153" s="21" t="inlineStr">
        <is>
          <t>Nom de la personne</t>
        </is>
      </c>
      <c r="F153" s="21" t="inlineStr">
        <is>
          <t>non</t>
        </is>
      </c>
      <c r="G153" s="21" t="inlineStr"/>
    </row>
    <row r="154">
      <c r="A154" s="21" t="inlineStr">
        <is>
          <t>saisie_hebdo</t>
        </is>
      </c>
      <c r="B154" s="21" t="inlineStr">
        <is>
          <t>Saisie hebdomadaire des IP (format long : une ligne = un indicateur, une ZS, une semaine)</t>
        </is>
      </c>
      <c r="C154" s="21" t="inlineStr">
        <is>
          <t>date_saisie</t>
        </is>
      </c>
      <c r="D154" s="21" t="inlineStr">
        <is>
          <t>date</t>
        </is>
      </c>
      <c r="E154" s="21" t="inlineStr">
        <is>
          <t>Date de saisie</t>
        </is>
      </c>
      <c r="F154" s="21" t="inlineStr">
        <is>
          <t>non</t>
        </is>
      </c>
      <c r="G154" s="21" t="inlineStr"/>
    </row>
    <row r="155">
      <c r="A155" s="21" t="inlineStr">
        <is>
          <t>saisie_hebdo</t>
        </is>
      </c>
      <c r="B155" s="21" t="inlineStr">
        <is>
          <t>Saisie hebdomadaire des IP (format long : une ligne = un indicateur, une ZS, une semaine)</t>
        </is>
      </c>
      <c r="C155" s="21" t="inlineStr">
        <is>
          <t>commentaire</t>
        </is>
      </c>
      <c r="D155" s="21" t="inlineStr">
        <is>
          <t>texte</t>
        </is>
      </c>
      <c r="E155" s="21" t="inlineStr">
        <is>
          <t>Remarque</t>
        </is>
      </c>
      <c r="F155" s="21" t="inlineStr">
        <is>
          <t>non</t>
        </is>
      </c>
      <c r="G155" s="21" t="inlineStr"/>
    </row>
    <row r="156">
      <c r="A156" s="21" t="inlineStr">
        <is>
          <t>sbc_activites</t>
        </is>
      </c>
      <c r="B156" s="21" t="inlineStr">
        <is>
          <t>Fiche SBC journalière : activités par type de site (format long)</t>
        </is>
      </c>
      <c r="C156" s="21" t="inlineStr">
        <is>
          <t>date</t>
        </is>
      </c>
      <c r="D156" s="21" t="inlineStr">
        <is>
          <t>date</t>
        </is>
      </c>
      <c r="E156" s="21" t="inlineStr">
        <is>
          <t>Date de l'activité</t>
        </is>
      </c>
      <c r="F156" s="21" t="inlineStr">
        <is>
          <t>oui</t>
        </is>
      </c>
      <c r="G156" s="21" t="inlineStr"/>
    </row>
    <row r="157">
      <c r="A157" s="21" t="inlineStr">
        <is>
          <t>sbc_activites</t>
        </is>
      </c>
      <c r="B157" s="21" t="inlineStr">
        <is>
          <t>Fiche SBC journalière : activités par type de site (format long)</t>
        </is>
      </c>
      <c r="C157" s="21" t="inlineStr">
        <is>
          <t>ip</t>
        </is>
      </c>
      <c r="D157" s="21" t="inlineStr">
        <is>
          <t>texte</t>
        </is>
      </c>
      <c r="E157" s="21" t="inlineStr">
        <is>
          <t>Partenaire</t>
        </is>
      </c>
      <c r="F157" s="21" t="inlineStr">
        <is>
          <t>oui</t>
        </is>
      </c>
      <c r="G157" s="21" t="inlineStr">
        <is>
          <t>liste « ip»</t>
        </is>
      </c>
    </row>
    <row r="158">
      <c r="A158" s="21" t="inlineStr">
        <is>
          <t>sbc_activites</t>
        </is>
      </c>
      <c r="B158" s="21" t="inlineStr">
        <is>
          <t>Fiche SBC journalière : activités par type de site (format long)</t>
        </is>
      </c>
      <c r="C158" s="21" t="inlineStr">
        <is>
          <t>province</t>
        </is>
      </c>
      <c r="D158" s="21" t="inlineStr">
        <is>
          <t>texte</t>
        </is>
      </c>
      <c r="E158" s="21" t="inlineStr">
        <is>
          <t>Province</t>
        </is>
      </c>
      <c r="F158" s="21" t="inlineStr">
        <is>
          <t>oui</t>
        </is>
      </c>
      <c r="G158" s="21" t="inlineStr">
        <is>
          <t>liste « provinces»</t>
        </is>
      </c>
    </row>
    <row r="159">
      <c r="A159" s="21" t="inlineStr">
        <is>
          <t>sbc_activites</t>
        </is>
      </c>
      <c r="B159" s="21" t="inlineStr">
        <is>
          <t>Fiche SBC journalière : activités par type de site (format long)</t>
        </is>
      </c>
      <c r="C159" s="21" t="inlineStr">
        <is>
          <t>zone_sante</t>
        </is>
      </c>
      <c r="D159" s="21" t="inlineStr">
        <is>
          <t>texte</t>
        </is>
      </c>
      <c r="E159" s="21" t="inlineStr">
        <is>
          <t>Zone de santé</t>
        </is>
      </c>
      <c r="F159" s="21" t="inlineStr">
        <is>
          <t>oui</t>
        </is>
      </c>
      <c r="G159" s="21" t="inlineStr"/>
    </row>
    <row r="160">
      <c r="A160" s="21" t="inlineStr">
        <is>
          <t>sbc_activites</t>
        </is>
      </c>
      <c r="B160" s="21" t="inlineStr">
        <is>
          <t>Fiche SBC journalière : activités par type de site (format long)</t>
        </is>
      </c>
      <c r="C160" s="21" t="inlineStr">
        <is>
          <t>aire_sante</t>
        </is>
      </c>
      <c r="D160" s="21" t="inlineStr">
        <is>
          <t>texte</t>
        </is>
      </c>
      <c r="E160" s="21" t="inlineStr">
        <is>
          <t>Aire de santé</t>
        </is>
      </c>
      <c r="F160" s="21" t="inlineStr">
        <is>
          <t>oui</t>
        </is>
      </c>
      <c r="G160" s="21" t="inlineStr"/>
    </row>
    <row r="161">
      <c r="A161" s="21" t="inlineStr">
        <is>
          <t>sbc_activites</t>
        </is>
      </c>
      <c r="B161" s="21" t="inlineStr">
        <is>
          <t>Fiche SBC journalière : activités par type de site (format long)</t>
        </is>
      </c>
      <c r="C161" s="21" t="inlineStr">
        <is>
          <t>village_quartier</t>
        </is>
      </c>
      <c r="D161" s="21" t="inlineStr">
        <is>
          <t>texte</t>
        </is>
      </c>
      <c r="E161" s="21" t="inlineStr">
        <is>
          <t>Village / quartier / CAC</t>
        </is>
      </c>
      <c r="F161" s="21" t="inlineStr">
        <is>
          <t>non</t>
        </is>
      </c>
      <c r="G161" s="21" t="inlineStr"/>
    </row>
    <row r="162">
      <c r="A162" s="21" t="inlineStr">
        <is>
          <t>sbc_activites</t>
        </is>
      </c>
      <c r="B162" s="21" t="inlineStr">
        <is>
          <t>Fiche SBC journalière : activités par type de site (format long)</t>
        </is>
      </c>
      <c r="C162" s="21" t="inlineStr">
        <is>
          <t>type_site</t>
        </is>
      </c>
      <c r="D162" s="21" t="inlineStr">
        <is>
          <t>texte</t>
        </is>
      </c>
      <c r="E162" s="21" t="inlineStr">
        <is>
          <t>Type de site visité</t>
        </is>
      </c>
      <c r="F162" s="21" t="inlineStr">
        <is>
          <t>oui</t>
        </is>
      </c>
      <c r="G162" s="21" t="inlineStr">
        <is>
          <t>liste « types_site»</t>
        </is>
      </c>
    </row>
    <row r="163">
      <c r="A163" s="21" t="inlineStr">
        <is>
          <t>sbc_activites</t>
        </is>
      </c>
      <c r="B163" s="21" t="inlineStr">
        <is>
          <t>Fiche SBC journalière : activités par type de site (format long)</t>
        </is>
      </c>
      <c r="C163" s="21" t="inlineStr">
        <is>
          <t>nb_seances_prevues</t>
        </is>
      </c>
      <c r="D163" s="21" t="inlineStr">
        <is>
          <t>entier</t>
        </is>
      </c>
      <c r="E163" s="21" t="inlineStr">
        <is>
          <t>Séances prévues</t>
        </is>
      </c>
      <c r="F163" s="21" t="inlineStr">
        <is>
          <t>non</t>
        </is>
      </c>
      <c r="G163" s="21" t="inlineStr"/>
    </row>
    <row r="164">
      <c r="A164" s="21" t="inlineStr">
        <is>
          <t>sbc_activites</t>
        </is>
      </c>
      <c r="B164" s="21" t="inlineStr">
        <is>
          <t>Fiche SBC journalière : activités par type de site (format long)</t>
        </is>
      </c>
      <c r="C164" s="21" t="inlineStr">
        <is>
          <t>nb_seances_realisees</t>
        </is>
      </c>
      <c r="D164" s="21" t="inlineStr">
        <is>
          <t>entier</t>
        </is>
      </c>
      <c r="E164" s="21" t="inlineStr">
        <is>
          <t>Séances réalisées</t>
        </is>
      </c>
      <c r="F164" s="21" t="inlineStr">
        <is>
          <t>non</t>
        </is>
      </c>
      <c r="G164" s="21" t="inlineStr"/>
    </row>
    <row r="165">
      <c r="A165" s="21" t="inlineStr">
        <is>
          <t>sbc_activites</t>
        </is>
      </c>
      <c r="B165" s="21" t="inlineStr">
        <is>
          <t>Fiche SBC journalière : activités par type de site (format long)</t>
        </is>
      </c>
      <c r="C165" s="21" t="inlineStr">
        <is>
          <t>nb_menages_prevus</t>
        </is>
      </c>
      <c r="D165" s="21" t="inlineStr">
        <is>
          <t>entier</t>
        </is>
      </c>
      <c r="E165" s="21" t="inlineStr">
        <is>
          <t>Ménages prévus (porte à porte uniquement)</t>
        </is>
      </c>
      <c r="F165" s="21" t="inlineStr">
        <is>
          <t>non</t>
        </is>
      </c>
      <c r="G165" s="21" t="inlineStr"/>
    </row>
    <row r="166">
      <c r="A166" s="21" t="inlineStr">
        <is>
          <t>sbc_activites</t>
        </is>
      </c>
      <c r="B166" s="21" t="inlineStr">
        <is>
          <t>Fiche SBC journalière : activités par type de site (format long)</t>
        </is>
      </c>
      <c r="C166" s="21" t="inlineStr">
        <is>
          <t>nb_menages_visites</t>
        </is>
      </c>
      <c r="D166" s="21" t="inlineStr">
        <is>
          <t>entier</t>
        </is>
      </c>
      <c r="E166" s="21" t="inlineStr">
        <is>
          <t>Ménages visités (porte à porte uniquement)</t>
        </is>
      </c>
      <c r="F166" s="21" t="inlineStr">
        <is>
          <t>non</t>
        </is>
      </c>
      <c r="G166" s="21" t="inlineStr"/>
    </row>
    <row r="167">
      <c r="A167" s="21" t="inlineStr">
        <is>
          <t>sbc_activites</t>
        </is>
      </c>
      <c r="B167" s="21" t="inlineStr">
        <is>
          <t>Fiche SBC journalière : activités par type de site (format long)</t>
        </is>
      </c>
      <c r="C167" s="21" t="inlineStr">
        <is>
          <t>nb_vad</t>
        </is>
      </c>
      <c r="D167" s="21" t="inlineStr">
        <is>
          <t>entier</t>
        </is>
      </c>
      <c r="E167" s="21" t="inlineStr">
        <is>
          <t>Visites à domicile</t>
        </is>
      </c>
      <c r="F167" s="21" t="inlineStr">
        <is>
          <t>non</t>
        </is>
      </c>
      <c r="G167" s="21" t="inlineStr"/>
    </row>
    <row r="168">
      <c r="A168" s="21" t="inlineStr">
        <is>
          <t>sbc_activites</t>
        </is>
      </c>
      <c r="B168" s="21" t="inlineStr">
        <is>
          <t>Fiche SBC journalière : activités par type de site (format long)</t>
        </is>
      </c>
      <c r="C168" s="21" t="inlineStr">
        <is>
          <t>nb_causeries</t>
        </is>
      </c>
      <c r="D168" s="21" t="inlineStr">
        <is>
          <t>entier</t>
        </is>
      </c>
      <c r="E168" s="21" t="inlineStr">
        <is>
          <t>Causeries éducatives</t>
        </is>
      </c>
      <c r="F168" s="21" t="inlineStr">
        <is>
          <t>non</t>
        </is>
      </c>
      <c r="G168" s="21" t="inlineStr"/>
    </row>
    <row r="169">
      <c r="A169" s="21" t="inlineStr">
        <is>
          <t>sbc_activites</t>
        </is>
      </c>
      <c r="B169" s="21" t="inlineStr">
        <is>
          <t>Fiche SBC journalière : activités par type de site (format long)</t>
        </is>
      </c>
      <c r="C169" s="21" t="inlineStr">
        <is>
          <t>nb_ecoute_negociation</t>
        </is>
      </c>
      <c r="D169" s="21" t="inlineStr">
        <is>
          <t>entier</t>
        </is>
      </c>
      <c r="E169" s="21" t="inlineStr">
        <is>
          <t>Écoute active / négociation</t>
        </is>
      </c>
      <c r="F169" s="21" t="inlineStr">
        <is>
          <t>non</t>
        </is>
      </c>
      <c r="G169" s="21" t="inlineStr"/>
    </row>
    <row r="170">
      <c r="A170" s="21" t="inlineStr">
        <is>
          <t>sbc_activites</t>
        </is>
      </c>
      <c r="B170" s="21" t="inlineStr">
        <is>
          <t>Fiche SBC journalière : activités par type de site (format long)</t>
        </is>
      </c>
      <c r="C170" s="21" t="inlineStr">
        <is>
          <t>nb_debats_dialogues</t>
        </is>
      </c>
      <c r="D170" s="21" t="inlineStr">
        <is>
          <t>entier</t>
        </is>
      </c>
      <c r="E170" s="21" t="inlineStr">
        <is>
          <t>Débats / dialogues communautaires</t>
        </is>
      </c>
      <c r="F170" s="21" t="inlineStr">
        <is>
          <t>non</t>
        </is>
      </c>
      <c r="G170" s="21" t="inlineStr"/>
    </row>
    <row r="171">
      <c r="A171" s="21" t="inlineStr">
        <is>
          <t>sbc_activites</t>
        </is>
      </c>
      <c r="B171" s="21" t="inlineStr">
        <is>
          <t>Fiche SBC journalière : activités par type de site (format long)</t>
        </is>
      </c>
      <c r="C171" s="21" t="inlineStr">
        <is>
          <t>nb_sketchs</t>
        </is>
      </c>
      <c r="D171" s="21" t="inlineStr">
        <is>
          <t>entier</t>
        </is>
      </c>
      <c r="E171" s="21" t="inlineStr">
        <is>
          <t>Sketchs</t>
        </is>
      </c>
      <c r="F171" s="21" t="inlineStr">
        <is>
          <t>non</t>
        </is>
      </c>
      <c r="G171" s="21" t="inlineStr"/>
    </row>
    <row r="172">
      <c r="A172" s="21" t="inlineStr">
        <is>
          <t>sbc_activites</t>
        </is>
      </c>
      <c r="B172" s="21" t="inlineStr">
        <is>
          <t>Fiche SBC journalière : activités par type de site (format long)</t>
        </is>
      </c>
      <c r="C172" s="21" t="inlineStr">
        <is>
          <t>nb_emissions_radio</t>
        </is>
      </c>
      <c r="D172" s="21" t="inlineStr">
        <is>
          <t>entier</t>
        </is>
      </c>
      <c r="E172" s="21" t="inlineStr">
        <is>
          <t>Émissions radio</t>
        </is>
      </c>
      <c r="F172" s="21" t="inlineStr">
        <is>
          <t>non</t>
        </is>
      </c>
      <c r="G172" s="21" t="inlineStr"/>
    </row>
    <row r="173">
      <c r="A173" s="21" t="inlineStr">
        <is>
          <t>sbc_activites</t>
        </is>
      </c>
      <c r="B173" s="21" t="inlineStr">
        <is>
          <t>Fiche SBC journalière : activités par type de site (format long)</t>
        </is>
      </c>
      <c r="C173" s="21" t="inlineStr">
        <is>
          <t>nb_emissions_interactives</t>
        </is>
      </c>
      <c r="D173" s="21" t="inlineStr">
        <is>
          <t>entier</t>
        </is>
      </c>
      <c r="E173" s="21" t="inlineStr">
        <is>
          <t>Émissions interactives</t>
        </is>
      </c>
      <c r="F173" s="21" t="inlineStr">
        <is>
          <t>non</t>
        </is>
      </c>
      <c r="G173" s="21" t="inlineStr"/>
    </row>
    <row r="174">
      <c r="A174" s="21" t="inlineStr">
        <is>
          <t>sbc_activites</t>
        </is>
      </c>
      <c r="B174" s="21" t="inlineStr">
        <is>
          <t>Fiche SBC journalière : activités par type de site (format long)</t>
        </is>
      </c>
      <c r="C174" s="21" t="inlineStr">
        <is>
          <t>nb_spots_radio</t>
        </is>
      </c>
      <c r="D174" s="21" t="inlineStr">
        <is>
          <t>entier</t>
        </is>
      </c>
      <c r="E174" s="21" t="inlineStr">
        <is>
          <t>Spots radio</t>
        </is>
      </c>
      <c r="F174" s="21" t="inlineStr">
        <is>
          <t>non</t>
        </is>
      </c>
      <c r="G174" s="21" t="inlineStr"/>
    </row>
    <row r="175">
      <c r="A175" s="21" t="inlineStr">
        <is>
          <t>sbc_activites</t>
        </is>
      </c>
      <c r="B175" s="21" t="inlineStr">
        <is>
          <t>Fiche SBC journalière : activités par type de site (format long)</t>
        </is>
      </c>
      <c r="C175" s="21" t="inlineStr">
        <is>
          <t>themes</t>
        </is>
      </c>
      <c r="D175" s="21" t="inlineStr">
        <is>
          <t>texte</t>
        </is>
      </c>
      <c r="E175" s="21" t="inlineStr">
        <is>
          <t>Thèmes abordés</t>
        </is>
      </c>
      <c r="F175" s="21" t="inlineStr">
        <is>
          <t>non</t>
        </is>
      </c>
      <c r="G175" s="21" t="inlineStr"/>
    </row>
    <row r="176">
      <c r="A176" s="21" t="inlineStr">
        <is>
          <t>sbc_activites</t>
        </is>
      </c>
      <c r="B176" s="21" t="inlineStr">
        <is>
          <t>Fiche SBC journalière : activités par type de site (format long)</t>
        </is>
      </c>
      <c r="C176" s="21" t="inlineStr">
        <is>
          <t>sensibilises_h</t>
        </is>
      </c>
      <c r="D176" s="21" t="inlineStr">
        <is>
          <t>entier</t>
        </is>
      </c>
      <c r="E176" s="21" t="inlineStr">
        <is>
          <t>Personnes sensibilisées : hommes</t>
        </is>
      </c>
      <c r="F176" s="21" t="inlineStr">
        <is>
          <t>non</t>
        </is>
      </c>
      <c r="G176" s="21" t="inlineStr"/>
    </row>
    <row r="177">
      <c r="A177" s="21" t="inlineStr">
        <is>
          <t>sbc_activites</t>
        </is>
      </c>
      <c r="B177" s="21" t="inlineStr">
        <is>
          <t>Fiche SBC journalière : activités par type de site (format long)</t>
        </is>
      </c>
      <c r="C177" s="21" t="inlineStr">
        <is>
          <t>sensibilises_f</t>
        </is>
      </c>
      <c r="D177" s="21" t="inlineStr">
        <is>
          <t>entier</t>
        </is>
      </c>
      <c r="E177" s="21" t="inlineStr">
        <is>
          <t>Personnes sensibilisées : femmes</t>
        </is>
      </c>
      <c r="F177" s="21" t="inlineStr">
        <is>
          <t>non</t>
        </is>
      </c>
      <c r="G177" s="21" t="inlineStr"/>
    </row>
    <row r="178">
      <c r="A178" s="21" t="inlineStr">
        <is>
          <t>sbc_activites</t>
        </is>
      </c>
      <c r="B178" s="21" t="inlineStr">
        <is>
          <t>Fiche SBC journalière : activités par type de site (format long)</t>
        </is>
      </c>
      <c r="C178" s="21" t="inlineStr">
        <is>
          <t>alertes_malades</t>
        </is>
      </c>
      <c r="D178" s="21" t="inlineStr">
        <is>
          <t>entier</t>
        </is>
      </c>
      <c r="E178" s="21" t="inlineStr">
        <is>
          <t>Alertes MVE trouvées : malades</t>
        </is>
      </c>
      <c r="F178" s="21" t="inlineStr">
        <is>
          <t>non</t>
        </is>
      </c>
      <c r="G178" s="21" t="inlineStr"/>
    </row>
    <row r="179">
      <c r="A179" s="21" t="inlineStr">
        <is>
          <t>sbc_activites</t>
        </is>
      </c>
      <c r="B179" s="21" t="inlineStr">
        <is>
          <t>Fiche SBC journalière : activités par type de site (format long)</t>
        </is>
      </c>
      <c r="C179" s="21" t="inlineStr">
        <is>
          <t>alertes_deces</t>
        </is>
      </c>
      <c r="D179" s="21" t="inlineStr">
        <is>
          <t>entier</t>
        </is>
      </c>
      <c r="E179" s="21" t="inlineStr">
        <is>
          <t>Alertes MVE trouvées : décès</t>
        </is>
      </c>
      <c r="F179" s="21" t="inlineStr">
        <is>
          <t>non</t>
        </is>
      </c>
      <c r="G179" s="21" t="inlineStr"/>
    </row>
    <row r="180">
      <c r="A180" s="21" t="inlineStr">
        <is>
          <t>sbc_activites</t>
        </is>
      </c>
      <c r="B180" s="21" t="inlineStr">
        <is>
          <t>Fiche SBC journalière : activités par type de site (format long)</t>
        </is>
      </c>
      <c r="C180" s="21" t="inlineStr">
        <is>
          <t>alertes_malades_notifiees_24h</t>
        </is>
      </c>
      <c r="D180" s="21" t="inlineStr">
        <is>
          <t>entier</t>
        </is>
      </c>
      <c r="E180" s="21" t="inlineStr">
        <is>
          <t>Alertes malades signalées au CS en 24 h</t>
        </is>
      </c>
      <c r="F180" s="21" t="inlineStr">
        <is>
          <t>non</t>
        </is>
      </c>
      <c r="G180" s="21" t="inlineStr"/>
    </row>
    <row r="181">
      <c r="A181" s="21" t="inlineStr">
        <is>
          <t>sbc_activites</t>
        </is>
      </c>
      <c r="B181" s="21" t="inlineStr">
        <is>
          <t>Fiche SBC journalière : activités par type de site (format long)</t>
        </is>
      </c>
      <c r="C181" s="21" t="inlineStr">
        <is>
          <t>alertes_deces_notifiees_24h</t>
        </is>
      </c>
      <c r="D181" s="21" t="inlineStr">
        <is>
          <t>entier</t>
        </is>
      </c>
      <c r="E181" s="21" t="inlineStr">
        <is>
          <t>Alertes décès signalées au CS en 24 h</t>
        </is>
      </c>
      <c r="F181" s="21" t="inlineStr">
        <is>
          <t>non</t>
        </is>
      </c>
      <c r="G181" s="21" t="inlineStr"/>
    </row>
    <row r="182">
      <c r="A182" s="21" t="inlineStr">
        <is>
          <t>sbc_activites</t>
        </is>
      </c>
      <c r="B182" s="21" t="inlineStr">
        <is>
          <t>Fiche SBC journalière : activités par type de site (format long)</t>
        </is>
      </c>
      <c r="C182" s="21" t="inlineStr">
        <is>
          <t>alertes_investiguees_24h</t>
        </is>
      </c>
      <c r="D182" s="21" t="inlineStr">
        <is>
          <t>entier</t>
        </is>
      </c>
      <c r="E182" s="21" t="inlineStr">
        <is>
          <t>Alertes investiguées en 24 h</t>
        </is>
      </c>
      <c r="F182" s="21" t="inlineStr">
        <is>
          <t>non</t>
        </is>
      </c>
      <c r="G182" s="21" t="inlineStr"/>
    </row>
    <row r="183">
      <c r="A183" s="21" t="inlineStr">
        <is>
          <t>sbc_activites</t>
        </is>
      </c>
      <c r="B183" s="21" t="inlineStr">
        <is>
          <t>Fiche SBC journalière : activités par type de site (format long)</t>
        </is>
      </c>
      <c r="C183" s="21" t="inlineStr">
        <is>
          <t>nb_visiteurs</t>
        </is>
      </c>
      <c r="D183" s="21" t="inlineStr">
        <is>
          <t>entier</t>
        </is>
      </c>
      <c r="E183" s="21" t="inlineStr">
        <is>
          <t>Visiteurs</t>
        </is>
      </c>
      <c r="F183" s="21" t="inlineStr">
        <is>
          <t>non</t>
        </is>
      </c>
      <c r="G183" s="21" t="inlineStr"/>
    </row>
    <row r="184">
      <c r="A184" s="21" t="inlineStr">
        <is>
          <t>sbc_activites</t>
        </is>
      </c>
      <c r="B184" s="21" t="inlineStr">
        <is>
          <t>Fiche SBC journalière : activités par type de site (format long)</t>
        </is>
      </c>
      <c r="C184" s="21" t="inlineStr">
        <is>
          <t>provenance_visiteurs</t>
        </is>
      </c>
      <c r="D184" s="21" t="inlineStr">
        <is>
          <t>texte</t>
        </is>
      </c>
      <c r="E184" s="21" t="inlineStr">
        <is>
          <t>Village et ZS de provenance</t>
        </is>
      </c>
      <c r="F184" s="21" t="inlineStr">
        <is>
          <t>non</t>
        </is>
      </c>
      <c r="G184" s="21" t="inlineStr"/>
    </row>
    <row r="185">
      <c r="A185" s="21" t="inlineStr">
        <is>
          <t>sbc_activites</t>
        </is>
      </c>
      <c r="B185" s="21" t="inlineStr">
        <is>
          <t>Fiche SBC journalière : activités par type de site (format long)</t>
        </is>
      </c>
      <c r="C185" s="21" t="inlineStr">
        <is>
          <t>malades_orientes_fosa</t>
        </is>
      </c>
      <c r="D185" s="21" t="inlineStr">
        <is>
          <t>entier</t>
        </is>
      </c>
      <c r="E185" s="21" t="inlineStr">
        <is>
          <t>Malades orientés vers une FOSA</t>
        </is>
      </c>
      <c r="F185" s="21" t="inlineStr">
        <is>
          <t>non</t>
        </is>
      </c>
      <c r="G185" s="21" t="inlineStr"/>
    </row>
    <row r="186">
      <c r="A186" s="21" t="inlineStr">
        <is>
          <t>sbc_activites</t>
        </is>
      </c>
      <c r="B186" s="21" t="inlineStr">
        <is>
          <t>Fiche SBC journalière : activités par type de site (format long)</t>
        </is>
      </c>
      <c r="C186" s="21" t="inlineStr">
        <is>
          <t>malades_arrives_fosa</t>
        </is>
      </c>
      <c r="D186" s="21" t="inlineStr">
        <is>
          <t>entier</t>
        </is>
      </c>
      <c r="E186" s="21" t="inlineStr">
        <is>
          <t>Malades arrivés à la FOSA</t>
        </is>
      </c>
      <c r="F186" s="21" t="inlineStr">
        <is>
          <t>non</t>
        </is>
      </c>
      <c r="G186" s="21" t="inlineStr"/>
    </row>
    <row r="187">
      <c r="A187" s="21" t="inlineStr">
        <is>
          <t>sbc_activites</t>
        </is>
      </c>
      <c r="B187" s="21" t="inlineStr">
        <is>
          <t>Fiche SBC journalière : activités par type de site (format long)</t>
        </is>
      </c>
      <c r="C187" s="21" t="inlineStr">
        <is>
          <t>malades_orientes_ct_cte</t>
        </is>
      </c>
      <c r="D187" s="21" t="inlineStr">
        <is>
          <t>entier</t>
        </is>
      </c>
      <c r="E187" s="21" t="inlineStr">
        <is>
          <t>Malades orientés vers CT/CTE/isolement</t>
        </is>
      </c>
      <c r="F187" s="21" t="inlineStr">
        <is>
          <t>non</t>
        </is>
      </c>
      <c r="G187" s="21" t="inlineStr"/>
    </row>
    <row r="188">
      <c r="A188" s="21" t="inlineStr">
        <is>
          <t>sbc_activites</t>
        </is>
      </c>
      <c r="B188" s="21" t="inlineStr">
        <is>
          <t>Fiche SBC journalière : activités par type de site (format long)</t>
        </is>
      </c>
      <c r="C188" s="21" t="inlineStr">
        <is>
          <t>commentaire</t>
        </is>
      </c>
      <c r="D188" s="21" t="inlineStr">
        <is>
          <t>texte</t>
        </is>
      </c>
      <c r="E188" s="21" t="inlineStr">
        <is>
          <t>Remarque</t>
        </is>
      </c>
      <c r="F188" s="21" t="inlineStr">
        <is>
          <t>non</t>
        </is>
      </c>
      <c r="G188" s="21" t="inlineStr"/>
    </row>
    <row r="189">
      <c r="A189" s="21" t="inlineStr">
        <is>
          <t>sbc_synthese_as</t>
        </is>
      </c>
      <c r="B189" s="21" t="inlineStr">
        <is>
          <t>Fiche SBC journalière : synthèse par aire de santé (contacts, décès, réticences)</t>
        </is>
      </c>
      <c r="C189" s="21" t="inlineStr">
        <is>
          <t>date</t>
        </is>
      </c>
      <c r="D189" s="21" t="inlineStr">
        <is>
          <t>date</t>
        </is>
      </c>
      <c r="E189" s="21" t="inlineStr">
        <is>
          <t>Date</t>
        </is>
      </c>
      <c r="F189" s="21" t="inlineStr">
        <is>
          <t>oui</t>
        </is>
      </c>
      <c r="G189" s="21" t="inlineStr"/>
    </row>
    <row r="190">
      <c r="A190" s="21" t="inlineStr">
        <is>
          <t>sbc_synthese_as</t>
        </is>
      </c>
      <c r="B190" s="21" t="inlineStr">
        <is>
          <t>Fiche SBC journalière : synthèse par aire de santé (contacts, décès, réticences)</t>
        </is>
      </c>
      <c r="C190" s="21" t="inlineStr">
        <is>
          <t>ip</t>
        </is>
      </c>
      <c r="D190" s="21" t="inlineStr">
        <is>
          <t>texte</t>
        </is>
      </c>
      <c r="E190" s="21" t="inlineStr">
        <is>
          <t>Partenaire</t>
        </is>
      </c>
      <c r="F190" s="21" t="inlineStr">
        <is>
          <t>oui</t>
        </is>
      </c>
      <c r="G190" s="21" t="inlineStr">
        <is>
          <t>liste « ip»</t>
        </is>
      </c>
    </row>
    <row r="191">
      <c r="A191" s="21" t="inlineStr">
        <is>
          <t>sbc_synthese_as</t>
        </is>
      </c>
      <c r="B191" s="21" t="inlineStr">
        <is>
          <t>Fiche SBC journalière : synthèse par aire de santé (contacts, décès, réticences)</t>
        </is>
      </c>
      <c r="C191" s="21" t="inlineStr">
        <is>
          <t>province</t>
        </is>
      </c>
      <c r="D191" s="21" t="inlineStr">
        <is>
          <t>texte</t>
        </is>
      </c>
      <c r="E191" s="21" t="inlineStr">
        <is>
          <t>Province</t>
        </is>
      </c>
      <c r="F191" s="21" t="inlineStr">
        <is>
          <t>oui</t>
        </is>
      </c>
      <c r="G191" s="21" t="inlineStr">
        <is>
          <t>liste « provinces»</t>
        </is>
      </c>
    </row>
    <row r="192">
      <c r="A192" s="21" t="inlineStr">
        <is>
          <t>sbc_synthese_as</t>
        </is>
      </c>
      <c r="B192" s="21" t="inlineStr">
        <is>
          <t>Fiche SBC journalière : synthèse par aire de santé (contacts, décès, réticences)</t>
        </is>
      </c>
      <c r="C192" s="21" t="inlineStr">
        <is>
          <t>zone_sante</t>
        </is>
      </c>
      <c r="D192" s="21" t="inlineStr">
        <is>
          <t>texte</t>
        </is>
      </c>
      <c r="E192" s="21" t="inlineStr">
        <is>
          <t>Zone de santé</t>
        </is>
      </c>
      <c r="F192" s="21" t="inlineStr">
        <is>
          <t>oui</t>
        </is>
      </c>
      <c r="G192" s="21" t="inlineStr"/>
    </row>
    <row r="193">
      <c r="A193" s="21" t="inlineStr">
        <is>
          <t>sbc_synthese_as</t>
        </is>
      </c>
      <c r="B193" s="21" t="inlineStr">
        <is>
          <t>Fiche SBC journalière : synthèse par aire de santé (contacts, décès, réticences)</t>
        </is>
      </c>
      <c r="C193" s="21" t="inlineStr">
        <is>
          <t>aire_sante</t>
        </is>
      </c>
      <c r="D193" s="21" t="inlineStr">
        <is>
          <t>texte</t>
        </is>
      </c>
      <c r="E193" s="21" t="inlineStr">
        <is>
          <t>Aire de santé</t>
        </is>
      </c>
      <c r="F193" s="21" t="inlineStr">
        <is>
          <t>oui</t>
        </is>
      </c>
      <c r="G193" s="21" t="inlineStr"/>
    </row>
    <row r="194">
      <c r="A194" s="21" t="inlineStr">
        <is>
          <t>sbc_synthese_as</t>
        </is>
      </c>
      <c r="B194" s="21" t="inlineStr">
        <is>
          <t>Fiche SBC journalière : synthèse par aire de santé (contacts, décès, réticences)</t>
        </is>
      </c>
      <c r="C194" s="21" t="inlineStr">
        <is>
          <t>reco_attendus</t>
        </is>
      </c>
      <c r="D194" s="21" t="inlineStr">
        <is>
          <t>entier</t>
        </is>
      </c>
      <c r="E194" s="21" t="inlineStr">
        <is>
          <t>RECO et ACSA attendus</t>
        </is>
      </c>
      <c r="F194" s="21" t="inlineStr">
        <is>
          <t>oui</t>
        </is>
      </c>
      <c r="G194" s="21" t="inlineStr"/>
    </row>
    <row r="195">
      <c r="A195" s="21" t="inlineStr">
        <is>
          <t>sbc_synthese_as</t>
        </is>
      </c>
      <c r="B195" s="21" t="inlineStr">
        <is>
          <t>Fiche SBC journalière : synthèse par aire de santé (contacts, décès, réticences)</t>
        </is>
      </c>
      <c r="C195" s="21" t="inlineStr">
        <is>
          <t>reco_ayant_travaille</t>
        </is>
      </c>
      <c r="D195" s="21" t="inlineStr">
        <is>
          <t>entier</t>
        </is>
      </c>
      <c r="E195" s="21" t="inlineStr">
        <is>
          <t>RECO et ACSA ayant travaillé</t>
        </is>
      </c>
      <c r="F195" s="21" t="inlineStr">
        <is>
          <t>oui</t>
        </is>
      </c>
      <c r="G195" s="21" t="inlineStr"/>
    </row>
    <row r="196">
      <c r="A196" s="21" t="inlineStr">
        <is>
          <t>sbc_synthese_as</t>
        </is>
      </c>
      <c r="B196" s="21" t="inlineStr">
        <is>
          <t>Fiche SBC journalière : synthèse par aire de santé (contacts, décès, réticences)</t>
        </is>
      </c>
      <c r="C196" s="21" t="inlineStr">
        <is>
          <t>contacts_listes_h</t>
        </is>
      </c>
      <c r="D196" s="21" t="inlineStr">
        <is>
          <t>entier</t>
        </is>
      </c>
      <c r="E196" s="21" t="inlineStr">
        <is>
          <t>Contacts listés ce jour : hommes</t>
        </is>
      </c>
      <c r="F196" s="21" t="inlineStr">
        <is>
          <t>non</t>
        </is>
      </c>
      <c r="G196" s="21" t="inlineStr"/>
    </row>
    <row r="197">
      <c r="A197" s="21" t="inlineStr">
        <is>
          <t>sbc_synthese_as</t>
        </is>
      </c>
      <c r="B197" s="21" t="inlineStr">
        <is>
          <t>Fiche SBC journalière : synthèse par aire de santé (contacts, décès, réticences)</t>
        </is>
      </c>
      <c r="C197" s="21" t="inlineStr">
        <is>
          <t>contacts_listes_f</t>
        </is>
      </c>
      <c r="D197" s="21" t="inlineStr">
        <is>
          <t>entier</t>
        </is>
      </c>
      <c r="E197" s="21" t="inlineStr">
        <is>
          <t>Contacts listés ce jour : femmes</t>
        </is>
      </c>
      <c r="F197" s="21" t="inlineStr">
        <is>
          <t>non</t>
        </is>
      </c>
      <c r="G197" s="21" t="inlineStr"/>
    </row>
    <row r="198">
      <c r="A198" s="21" t="inlineStr">
        <is>
          <t>sbc_synthese_as</t>
        </is>
      </c>
      <c r="B198" s="21" t="inlineStr">
        <is>
          <t>Fiche SBC journalière : synthèse par aire de santé (contacts, décès, réticences)</t>
        </is>
      </c>
      <c r="C198" s="21" t="inlineStr">
        <is>
          <t>contacts_sous_suivi_h</t>
        </is>
      </c>
      <c r="D198" s="21" t="inlineStr">
        <is>
          <t>entier</t>
        </is>
      </c>
      <c r="E198" s="21" t="inlineStr">
        <is>
          <t>Contacts sous suivi dans l'AS : hommes</t>
        </is>
      </c>
      <c r="F198" s="21" t="inlineStr">
        <is>
          <t>non</t>
        </is>
      </c>
      <c r="G198" s="21" t="inlineStr"/>
    </row>
    <row r="199">
      <c r="A199" s="21" t="inlineStr">
        <is>
          <t>sbc_synthese_as</t>
        </is>
      </c>
      <c r="B199" s="21" t="inlineStr">
        <is>
          <t>Fiche SBC journalière : synthèse par aire de santé (contacts, décès, réticences)</t>
        </is>
      </c>
      <c r="C199" s="21" t="inlineStr">
        <is>
          <t>contacts_sous_suivi_f</t>
        </is>
      </c>
      <c r="D199" s="21" t="inlineStr">
        <is>
          <t>entier</t>
        </is>
      </c>
      <c r="E199" s="21" t="inlineStr">
        <is>
          <t>Contacts sous suivi dans l'AS : femmes</t>
        </is>
      </c>
      <c r="F199" s="21" t="inlineStr">
        <is>
          <t>non</t>
        </is>
      </c>
      <c r="G199" s="21" t="inlineStr"/>
    </row>
    <row r="200">
      <c r="A200" s="21" t="inlineStr">
        <is>
          <t>sbc_synthese_as</t>
        </is>
      </c>
      <c r="B200" s="21" t="inlineStr">
        <is>
          <t>Fiche SBC journalière : synthèse par aire de santé (contacts, décès, réticences)</t>
        </is>
      </c>
      <c r="C200" s="21" t="inlineStr">
        <is>
          <t>contacts_vus_h</t>
        </is>
      </c>
      <c r="D200" s="21" t="inlineStr">
        <is>
          <t>entier</t>
        </is>
      </c>
      <c r="E200" s="21" t="inlineStr">
        <is>
          <t>Contacts vus ce jour : hommes</t>
        </is>
      </c>
      <c r="F200" s="21" t="inlineStr">
        <is>
          <t>non</t>
        </is>
      </c>
      <c r="G200" s="21" t="inlineStr"/>
    </row>
    <row r="201">
      <c r="A201" s="21" t="inlineStr">
        <is>
          <t>sbc_synthese_as</t>
        </is>
      </c>
      <c r="B201" s="21" t="inlineStr">
        <is>
          <t>Fiche SBC journalière : synthèse par aire de santé (contacts, décès, réticences)</t>
        </is>
      </c>
      <c r="C201" s="21" t="inlineStr">
        <is>
          <t>contacts_vus_f</t>
        </is>
      </c>
      <c r="D201" s="21" t="inlineStr">
        <is>
          <t>entier</t>
        </is>
      </c>
      <c r="E201" s="21" t="inlineStr">
        <is>
          <t>Contacts vus ce jour : femmes</t>
        </is>
      </c>
      <c r="F201" s="21" t="inlineStr">
        <is>
          <t>non</t>
        </is>
      </c>
      <c r="G201" s="21" t="inlineStr"/>
    </row>
    <row r="202">
      <c r="A202" s="21" t="inlineStr">
        <is>
          <t>sbc_synthese_as</t>
        </is>
      </c>
      <c r="B202" s="21" t="inlineStr">
        <is>
          <t>Fiche SBC journalière : synthèse par aire de santé (contacts, décès, réticences)</t>
        </is>
      </c>
      <c r="C202" s="21" t="inlineStr">
        <is>
          <t>contacts_symptomatiques</t>
        </is>
      </c>
      <c r="D202" s="21" t="inlineStr">
        <is>
          <t>entier</t>
        </is>
      </c>
      <c r="E202" s="21" t="inlineStr">
        <is>
          <t>Contacts avec au moins un signe</t>
        </is>
      </c>
      <c r="F202" s="21" t="inlineStr">
        <is>
          <t>non</t>
        </is>
      </c>
      <c r="G202" s="21" t="inlineStr"/>
    </row>
    <row r="203">
      <c r="A203" s="21" t="inlineStr">
        <is>
          <t>sbc_synthese_as</t>
        </is>
      </c>
      <c r="B203" s="21" t="inlineStr">
        <is>
          <t>Fiche SBC journalière : synthèse par aire de santé (contacts, décès, réticences)</t>
        </is>
      </c>
      <c r="C203" s="21" t="inlineStr">
        <is>
          <t>contacts_symptomatiques_referes_24h</t>
        </is>
      </c>
      <c r="D203" s="21" t="inlineStr">
        <is>
          <t>entier</t>
        </is>
      </c>
      <c r="E203" s="21" t="inlineStr">
        <is>
          <t>NOUVEAU : contacts symptomatiques référés en 24 h</t>
        </is>
      </c>
      <c r="F203" s="21" t="inlineStr">
        <is>
          <t>non</t>
        </is>
      </c>
      <c r="G203" s="21" t="inlineStr"/>
    </row>
    <row r="204">
      <c r="A204" s="21" t="inlineStr">
        <is>
          <t>sbc_synthese_as</t>
        </is>
      </c>
      <c r="B204" s="21" t="inlineStr">
        <is>
          <t>Fiche SBC journalière : synthèse par aire de santé (contacts, décès, réticences)</t>
        </is>
      </c>
      <c r="C204" s="21" t="inlineStr">
        <is>
          <t>contacts_fin_suivi_21j</t>
        </is>
      </c>
      <c r="D204" s="21" t="inlineStr">
        <is>
          <t>entier</t>
        </is>
      </c>
      <c r="E204" s="21" t="inlineStr">
        <is>
          <t>NOUVEAU : contacts ayant terminé les 21 jours</t>
        </is>
      </c>
      <c r="F204" s="21" t="inlineStr">
        <is>
          <t>non</t>
        </is>
      </c>
      <c r="G204" s="21" t="inlineStr"/>
    </row>
    <row r="205">
      <c r="A205" s="21" t="inlineStr">
        <is>
          <t>sbc_synthese_as</t>
        </is>
      </c>
      <c r="B205" s="21" t="inlineStr">
        <is>
          <t>Fiche SBC journalière : synthèse par aire de santé (contacts, décès, réticences)</t>
        </is>
      </c>
      <c r="C205" s="21" t="inlineStr">
        <is>
          <t>contacts_perdus_de_vue</t>
        </is>
      </c>
      <c r="D205" s="21" t="inlineStr">
        <is>
          <t>entier</t>
        </is>
      </c>
      <c r="E205" s="21" t="inlineStr">
        <is>
          <t>NOUVEAU : contacts perdus de vue</t>
        </is>
      </c>
      <c r="F205" s="21" t="inlineStr">
        <is>
          <t>non</t>
        </is>
      </c>
      <c r="G205" s="21" t="inlineStr"/>
    </row>
    <row r="206">
      <c r="A206" s="21" t="inlineStr">
        <is>
          <t>sbc_synthese_as</t>
        </is>
      </c>
      <c r="B206" s="21" t="inlineStr">
        <is>
          <t>Fiche SBC journalière : synthèse par aire de santé (contacts, décès, réticences)</t>
        </is>
      </c>
      <c r="C206" s="21" t="inlineStr">
        <is>
          <t>contacts_sensibilises_vaccination</t>
        </is>
      </c>
      <c r="D206" s="21" t="inlineStr">
        <is>
          <t>entier</t>
        </is>
      </c>
      <c r="E206" s="21" t="inlineStr">
        <is>
          <t>Contacts sensibilisés à la vaccination</t>
        </is>
      </c>
      <c r="F206" s="21" t="inlineStr">
        <is>
          <t>non</t>
        </is>
      </c>
      <c r="G206" s="21" t="inlineStr"/>
    </row>
    <row r="207">
      <c r="A207" s="21" t="inlineStr">
        <is>
          <t>sbc_synthese_as</t>
        </is>
      </c>
      <c r="B207" s="21" t="inlineStr">
        <is>
          <t>Fiche SBC journalière : synthèse par aire de santé (contacts, décès, réticences)</t>
        </is>
      </c>
      <c r="C207" s="21" t="inlineStr">
        <is>
          <t>contacts_vaccines</t>
        </is>
      </c>
      <c r="D207" s="21" t="inlineStr">
        <is>
          <t>entier</t>
        </is>
      </c>
      <c r="E207" s="21" t="inlineStr">
        <is>
          <t>Contacts vaccinés</t>
        </is>
      </c>
      <c r="F207" s="21" t="inlineStr">
        <is>
          <t>non</t>
        </is>
      </c>
      <c r="G207" s="21" t="inlineStr"/>
    </row>
    <row r="208">
      <c r="A208" s="21" t="inlineStr">
        <is>
          <t>sbc_synthese_as</t>
        </is>
      </c>
      <c r="B208" s="21" t="inlineStr">
        <is>
          <t>Fiche SBC journalière : synthèse par aire de santé (contacts, décès, réticences)</t>
        </is>
      </c>
      <c r="C208" s="21" t="inlineStr">
        <is>
          <t>deces_communautaires_notifies</t>
        </is>
      </c>
      <c r="D208" s="21" t="inlineStr">
        <is>
          <t>entier</t>
        </is>
      </c>
      <c r="E208" s="21" t="inlineStr">
        <is>
          <t>NOUVEAU : décès communautaires notifiés</t>
        </is>
      </c>
      <c r="F208" s="21" t="inlineStr">
        <is>
          <t>non</t>
        </is>
      </c>
      <c r="G208" s="21" t="inlineStr"/>
    </row>
    <row r="209">
      <c r="A209" s="21" t="inlineStr">
        <is>
          <t>sbc_synthese_as</t>
        </is>
      </c>
      <c r="B209" s="21" t="inlineStr">
        <is>
          <t>Fiche SBC journalière : synthèse par aire de santé (contacts, décès, réticences)</t>
        </is>
      </c>
      <c r="C209" s="21" t="inlineStr">
        <is>
          <t>deces_communautaires_swabes</t>
        </is>
      </c>
      <c r="D209" s="21" t="inlineStr">
        <is>
          <t>entier</t>
        </is>
      </c>
      <c r="E209" s="21" t="inlineStr">
        <is>
          <t>Décès communautaires prélevés (swab)</t>
        </is>
      </c>
      <c r="F209" s="21" t="inlineStr">
        <is>
          <t>non</t>
        </is>
      </c>
      <c r="G209" s="21" t="inlineStr"/>
    </row>
    <row r="210">
      <c r="A210" s="21" t="inlineStr">
        <is>
          <t>sbc_synthese_as</t>
        </is>
      </c>
      <c r="B210" s="21" t="inlineStr">
        <is>
          <t>Fiche SBC journalière : synthèse par aire de santé (contacts, décès, réticences)</t>
        </is>
      </c>
      <c r="C210" s="21" t="inlineStr">
        <is>
          <t>deces_communautaires_eds</t>
        </is>
      </c>
      <c r="D210" s="21" t="inlineStr">
        <is>
          <t>entier</t>
        </is>
      </c>
      <c r="E210" s="21" t="inlineStr">
        <is>
          <t>Décès communautaires avec EDS</t>
        </is>
      </c>
      <c r="F210" s="21" t="inlineStr">
        <is>
          <t>non</t>
        </is>
      </c>
      <c r="G210" s="21" t="inlineStr"/>
    </row>
    <row r="211">
      <c r="A211" s="21" t="inlineStr">
        <is>
          <t>sbc_synthese_as</t>
        </is>
      </c>
      <c r="B211" s="21" t="inlineStr">
        <is>
          <t>Fiche SBC journalière : synthèse par aire de santé (contacts, décès, réticences)</t>
        </is>
      </c>
      <c r="C211" s="21" t="inlineStr">
        <is>
          <t>alertes_verifiees_24h</t>
        </is>
      </c>
      <c r="D211" s="21" t="inlineStr">
        <is>
          <t>entier</t>
        </is>
      </c>
      <c r="E211" s="21" t="inlineStr">
        <is>
          <t>NOUVEAU : alertes vérifiées par l'ESS/EIR en 24 h</t>
        </is>
      </c>
      <c r="F211" s="21" t="inlineStr">
        <is>
          <t>non</t>
        </is>
      </c>
      <c r="G211" s="21" t="inlineStr"/>
    </row>
    <row r="212">
      <c r="A212" s="21" t="inlineStr">
        <is>
          <t>sbc_synthese_as</t>
        </is>
      </c>
      <c r="B212" s="21" t="inlineStr">
        <is>
          <t>Fiche SBC journalière : synthèse par aire de santé (contacts, décès, réticences)</t>
        </is>
      </c>
      <c r="C212" s="21" t="inlineStr">
        <is>
          <t>reticences_enregistrees</t>
        </is>
      </c>
      <c r="D212" s="21" t="inlineStr">
        <is>
          <t>entier</t>
        </is>
      </c>
      <c r="E212" s="21" t="inlineStr">
        <is>
          <t>Réticences enregistrées</t>
        </is>
      </c>
      <c r="F212" s="21" t="inlineStr">
        <is>
          <t>non</t>
        </is>
      </c>
      <c r="G212" s="21" t="inlineStr"/>
    </row>
    <row r="213">
      <c r="A213" s="21" t="inlineStr">
        <is>
          <t>sbc_synthese_as</t>
        </is>
      </c>
      <c r="B213" s="21" t="inlineStr">
        <is>
          <t>Fiche SBC journalière : synthèse par aire de santé (contacts, décès, réticences)</t>
        </is>
      </c>
      <c r="C213" s="21" t="inlineStr">
        <is>
          <t>reticences_levees_meme_jour</t>
        </is>
      </c>
      <c r="D213" s="21" t="inlineStr">
        <is>
          <t>entier</t>
        </is>
      </c>
      <c r="E213" s="21" t="inlineStr">
        <is>
          <t>Réticences levées le jour même</t>
        </is>
      </c>
      <c r="F213" s="21" t="inlineStr">
        <is>
          <t>non</t>
        </is>
      </c>
      <c r="G213" s="21" t="inlineStr"/>
    </row>
    <row r="214">
      <c r="A214" s="21" t="inlineStr">
        <is>
          <t>sbc_synthese_as</t>
        </is>
      </c>
      <c r="B214" s="21" t="inlineStr">
        <is>
          <t>Fiche SBC journalière : synthèse par aire de santé (contacts, décès, réticences)</t>
        </is>
      </c>
      <c r="C214" s="21" t="inlineStr">
        <is>
          <t>reticences_levees_48h</t>
        </is>
      </c>
      <c r="D214" s="21" t="inlineStr">
        <is>
          <t>entier</t>
        </is>
      </c>
      <c r="E214" s="21" t="inlineStr">
        <is>
          <t>NOUVEAU : réticences levées en 48 h</t>
        </is>
      </c>
      <c r="F214" s="21" t="inlineStr">
        <is>
          <t>non</t>
        </is>
      </c>
      <c r="G214" s="21" t="inlineStr"/>
    </row>
    <row r="215">
      <c r="A215" s="21" t="inlineStr">
        <is>
          <t>sbc_synthese_as</t>
        </is>
      </c>
      <c r="B215" s="21" t="inlineStr">
        <is>
          <t>Fiche SBC journalière : synthèse par aire de santé (contacts, décès, réticences)</t>
        </is>
      </c>
      <c r="C215" s="21" t="inlineStr">
        <is>
          <t>rumeurs_enregistrees</t>
        </is>
      </c>
      <c r="D215" s="21" t="inlineStr">
        <is>
          <t>entier</t>
        </is>
      </c>
      <c r="E215" s="21" t="inlineStr">
        <is>
          <t>NOUVEAU : rumeurs et préoccupations enregistrées</t>
        </is>
      </c>
      <c r="F215" s="21" t="inlineStr">
        <is>
          <t>non</t>
        </is>
      </c>
      <c r="G215" s="21" t="inlineStr"/>
    </row>
    <row r="216">
      <c r="A216" s="21" t="inlineStr">
        <is>
          <t>sbc_synthese_as</t>
        </is>
      </c>
      <c r="B216" s="21" t="inlineStr">
        <is>
          <t>Fiche SBC journalière : synthèse par aire de santé (contacts, décès, réticences)</t>
        </is>
      </c>
      <c r="C216" s="21" t="inlineStr">
        <is>
          <t>rumeurs_traitees_48h</t>
        </is>
      </c>
      <c r="D216" s="21" t="inlineStr">
        <is>
          <t>entier</t>
        </is>
      </c>
      <c r="E216" s="21" t="inlineStr">
        <is>
          <t>NOUVEAU : rumeurs traitées en 48 h</t>
        </is>
      </c>
      <c r="F216" s="21" t="inlineStr">
        <is>
          <t>non</t>
        </is>
      </c>
      <c r="G216" s="21" t="inlineStr"/>
    </row>
    <row r="217">
      <c r="A217" s="21" t="inlineStr">
        <is>
          <t>sbc_synthese_as</t>
        </is>
      </c>
      <c r="B217" s="21" t="inlineStr">
        <is>
          <t>Fiche SBC journalière : synthèse par aire de santé (contacts, décès, réticences)</t>
        </is>
      </c>
      <c r="C217" s="21" t="inlineStr">
        <is>
          <t>alertes_sante_animale</t>
        </is>
      </c>
      <c r="D217" s="21" t="inlineStr">
        <is>
          <t>entier</t>
        </is>
      </c>
      <c r="E217" s="21" t="inlineStr">
        <is>
          <t>NOUVEAU : alertes de santé animale (One Health)</t>
        </is>
      </c>
      <c r="F217" s="21" t="inlineStr">
        <is>
          <t>non</t>
        </is>
      </c>
      <c r="G217" s="21" t="inlineStr"/>
    </row>
    <row r="218">
      <c r="A218" s="21" t="inlineStr">
        <is>
          <t>sbc_synthese_as</t>
        </is>
      </c>
      <c r="B218" s="21" t="inlineStr">
        <is>
          <t>Fiche SBC journalière : synthèse par aire de santé (contacts, décès, réticences)</t>
        </is>
      </c>
      <c r="C218" s="21" t="inlineStr">
        <is>
          <t>feedback_majeur</t>
        </is>
      </c>
      <c r="D218" s="21" t="inlineStr">
        <is>
          <t>texte</t>
        </is>
      </c>
      <c r="E218" s="21" t="inlineStr">
        <is>
          <t>Feedbacks majeurs (un par ligne)</t>
        </is>
      </c>
      <c r="F218" s="21" t="inlineStr">
        <is>
          <t>non</t>
        </is>
      </c>
      <c r="G218" s="21" t="inlineStr"/>
    </row>
    <row r="219">
      <c r="A219" s="21" t="inlineStr">
        <is>
          <t>sbc_synthese_as</t>
        </is>
      </c>
      <c r="B219" s="21" t="inlineStr">
        <is>
          <t>Fiche SBC journalière : synthèse par aire de santé (contacts, décès, réticences)</t>
        </is>
      </c>
      <c r="C219" s="21" t="inlineStr">
        <is>
          <t>visa_as</t>
        </is>
      </c>
      <c r="D219" s="21" t="inlineStr">
        <is>
          <t>texte</t>
        </is>
      </c>
      <c r="E219" s="21" t="inlineStr">
        <is>
          <t>Visa de l'AS (O/N)</t>
        </is>
      </c>
      <c r="F219" s="21" t="inlineStr">
        <is>
          <t>non</t>
        </is>
      </c>
      <c r="G219" s="21" t="inlineStr">
        <is>
          <t>liste « oui_non»</t>
        </is>
      </c>
    </row>
    <row r="220">
      <c r="A220" s="21" t="inlineStr">
        <is>
          <t>sbc_synthese_as</t>
        </is>
      </c>
      <c r="B220" s="21" t="inlineStr">
        <is>
          <t>Fiche SBC journalière : synthèse par aire de santé (contacts, décès, réticences)</t>
        </is>
      </c>
      <c r="C220" s="21" t="inlineStr">
        <is>
          <t>visa_bcz</t>
        </is>
      </c>
      <c r="D220" s="21" t="inlineStr">
        <is>
          <t>texte</t>
        </is>
      </c>
      <c r="E220" s="21" t="inlineStr">
        <is>
          <t>Visa du BCZ (O/N)</t>
        </is>
      </c>
      <c r="F220" s="21" t="inlineStr">
        <is>
          <t>non</t>
        </is>
      </c>
      <c r="G220" s="21" t="inlineStr">
        <is>
          <t>liste « oui_non»</t>
        </is>
      </c>
    </row>
    <row r="221">
      <c r="A221" s="21" t="inlineStr">
        <is>
          <t>reunions</t>
        </is>
      </c>
      <c r="B221" s="21" t="inlineStr">
        <is>
          <t>Réunions de coordination</t>
        </is>
      </c>
      <c r="C221" s="21" t="inlineStr">
        <is>
          <t>id_reunion</t>
        </is>
      </c>
      <c r="D221" s="21" t="inlineStr">
        <is>
          <t>texte</t>
        </is>
      </c>
      <c r="E221" s="21" t="inlineStr">
        <is>
          <t>Identifiant (AAAAMMJJ-niveau-lieu)</t>
        </is>
      </c>
      <c r="F221" s="21" t="inlineStr">
        <is>
          <t>oui</t>
        </is>
      </c>
      <c r="G221" s="21" t="inlineStr"/>
    </row>
    <row r="222">
      <c r="A222" s="21" t="inlineStr">
        <is>
          <t>reunions</t>
        </is>
      </c>
      <c r="B222" s="21" t="inlineStr">
        <is>
          <t>Réunions de coordination</t>
        </is>
      </c>
      <c r="C222" s="21" t="inlineStr">
        <is>
          <t>date</t>
        </is>
      </c>
      <c r="D222" s="21" t="inlineStr">
        <is>
          <t>date</t>
        </is>
      </c>
      <c r="E222" s="21" t="inlineStr">
        <is>
          <t>Date</t>
        </is>
      </c>
      <c r="F222" s="21" t="inlineStr">
        <is>
          <t>oui</t>
        </is>
      </c>
      <c r="G222" s="21" t="inlineStr"/>
    </row>
    <row r="223">
      <c r="A223" s="21" t="inlineStr">
        <is>
          <t>reunions</t>
        </is>
      </c>
      <c r="B223" s="21" t="inlineStr">
        <is>
          <t>Réunions de coordination</t>
        </is>
      </c>
      <c r="C223" s="21" t="inlineStr">
        <is>
          <t>niveau</t>
        </is>
      </c>
      <c r="D223" s="21" t="inlineStr">
        <is>
          <t>texte</t>
        </is>
      </c>
      <c r="E223" s="21" t="inlineStr">
        <is>
          <t>National / provincial / ZS / pilier / partenaires</t>
        </is>
      </c>
      <c r="F223" s="21" t="inlineStr">
        <is>
          <t>oui</t>
        </is>
      </c>
      <c r="G223" s="21" t="inlineStr">
        <is>
          <t>liste « niveau_reunion»</t>
        </is>
      </c>
    </row>
    <row r="224">
      <c r="A224" s="21" t="inlineStr">
        <is>
          <t>reunions</t>
        </is>
      </c>
      <c r="B224" s="21" t="inlineStr">
        <is>
          <t>Réunions de coordination</t>
        </is>
      </c>
      <c r="C224" s="21" t="inlineStr">
        <is>
          <t>lieu</t>
        </is>
      </c>
      <c r="D224" s="21" t="inlineStr">
        <is>
          <t>texte</t>
        </is>
      </c>
      <c r="E224" s="21" t="inlineStr">
        <is>
          <t>Lieu</t>
        </is>
      </c>
      <c r="F224" s="21" t="inlineStr">
        <is>
          <t>oui</t>
        </is>
      </c>
      <c r="G224" s="21" t="inlineStr"/>
    </row>
    <row r="225">
      <c r="A225" s="21" t="inlineStr">
        <is>
          <t>reunions</t>
        </is>
      </c>
      <c r="B225" s="21" t="inlineStr">
        <is>
          <t>Réunions de coordination</t>
        </is>
      </c>
      <c r="C225" s="21" t="inlineStr">
        <is>
          <t>objet</t>
        </is>
      </c>
      <c r="D225" s="21" t="inlineStr">
        <is>
          <t>texte</t>
        </is>
      </c>
      <c r="E225" s="21" t="inlineStr">
        <is>
          <t>Objet</t>
        </is>
      </c>
      <c r="F225" s="21" t="inlineStr">
        <is>
          <t>oui</t>
        </is>
      </c>
      <c r="G225" s="21" t="inlineStr"/>
    </row>
    <row r="226">
      <c r="A226" s="21" t="inlineStr">
        <is>
          <t>reunions</t>
        </is>
      </c>
      <c r="B226" s="21" t="inlineStr">
        <is>
          <t>Réunions de coordination</t>
        </is>
      </c>
      <c r="C226" s="21" t="inlineStr">
        <is>
          <t>duree_min</t>
        </is>
      </c>
      <c r="D226" s="21" t="inlineStr">
        <is>
          <t>entier</t>
        </is>
      </c>
      <c r="E226" s="21" t="inlineStr">
        <is>
          <t>Durée en minutes</t>
        </is>
      </c>
      <c r="F226" s="21" t="inlineStr">
        <is>
          <t>non</t>
        </is>
      </c>
      <c r="G226" s="21" t="inlineStr"/>
    </row>
    <row r="227">
      <c r="A227" s="21" t="inlineStr">
        <is>
          <t>reunions</t>
        </is>
      </c>
      <c r="B227" s="21" t="inlineStr">
        <is>
          <t>Réunions de coordination</t>
        </is>
      </c>
      <c r="C227" s="21" t="inlineStr">
        <is>
          <t>nb_participants</t>
        </is>
      </c>
      <c r="D227" s="21" t="inlineStr">
        <is>
          <t>entier</t>
        </is>
      </c>
      <c r="E227" s="21" t="inlineStr">
        <is>
          <t>Nombre de participants</t>
        </is>
      </c>
      <c r="F227" s="21" t="inlineStr">
        <is>
          <t>non</t>
        </is>
      </c>
      <c r="G227" s="21" t="inlineStr"/>
    </row>
    <row r="228">
      <c r="A228" s="21" t="inlineStr">
        <is>
          <t>reunions</t>
        </is>
      </c>
      <c r="B228" s="21" t="inlineStr">
        <is>
          <t>Réunions de coordination</t>
        </is>
      </c>
      <c r="C228" s="21" t="inlineStr">
        <is>
          <t>representant_cgpp</t>
        </is>
      </c>
      <c r="D228" s="21" t="inlineStr">
        <is>
          <t>texte</t>
        </is>
      </c>
      <c r="E228" s="21" t="inlineStr">
        <is>
          <t>Représentant CGPP</t>
        </is>
      </c>
      <c r="F228" s="21" t="inlineStr">
        <is>
          <t>oui</t>
        </is>
      </c>
      <c r="G228" s="21" t="inlineStr"/>
    </row>
    <row r="229">
      <c r="A229" s="21" t="inlineStr">
        <is>
          <t>reunions</t>
        </is>
      </c>
      <c r="B229" s="21" t="inlineStr">
        <is>
          <t>Réunions de coordination</t>
        </is>
      </c>
      <c r="C229" s="21" t="inlineStr">
        <is>
          <t>fichier_rapport</t>
        </is>
      </c>
      <c r="D229" s="21" t="inlineStr">
        <is>
          <t>texte</t>
        </is>
      </c>
      <c r="E229" s="21" t="inlineStr">
        <is>
          <t>Compte rendu</t>
        </is>
      </c>
      <c r="F229" s="21" t="inlineStr">
        <is>
          <t>non</t>
        </is>
      </c>
      <c r="G229" s="21" t="inlineStr"/>
    </row>
    <row r="230">
      <c r="A230" s="21" t="inlineStr">
        <is>
          <t>reunions</t>
        </is>
      </c>
      <c r="B230" s="21" t="inlineStr">
        <is>
          <t>Réunions de coordination</t>
        </is>
      </c>
      <c r="C230" s="21" t="inlineStr">
        <is>
          <t>liste_presence_complete</t>
        </is>
      </c>
      <c r="D230" s="21" t="inlineStr">
        <is>
          <t>texte</t>
        </is>
      </c>
      <c r="E230" s="21" t="inlineStr">
        <is>
          <t>Liste de présence complète (O/N)</t>
        </is>
      </c>
      <c r="F230" s="21" t="inlineStr">
        <is>
          <t>non</t>
        </is>
      </c>
      <c r="G230" s="21" t="inlineStr">
        <is>
          <t>liste « oui_non»</t>
        </is>
      </c>
    </row>
    <row r="231">
      <c r="A231" s="21" t="inlineStr">
        <is>
          <t>points_action</t>
        </is>
      </c>
      <c r="B231" s="21" t="inlineStr">
        <is>
          <t>Points d'action issus des réunions</t>
        </is>
      </c>
      <c r="C231" s="21" t="inlineStr">
        <is>
          <t>id_action</t>
        </is>
      </c>
      <c r="D231" s="21" t="inlineStr">
        <is>
          <t>texte</t>
        </is>
      </c>
      <c r="E231" s="21" t="inlineStr">
        <is>
          <t>Identifiant</t>
        </is>
      </c>
      <c r="F231" s="21" t="inlineStr">
        <is>
          <t>oui</t>
        </is>
      </c>
      <c r="G231" s="21" t="inlineStr"/>
    </row>
    <row r="232">
      <c r="A232" s="21" t="inlineStr">
        <is>
          <t>points_action</t>
        </is>
      </c>
      <c r="B232" s="21" t="inlineStr">
        <is>
          <t>Points d'action issus des réunions</t>
        </is>
      </c>
      <c r="C232" s="21" t="inlineStr">
        <is>
          <t>id_reunion</t>
        </is>
      </c>
      <c r="D232" s="21" t="inlineStr">
        <is>
          <t>texte</t>
        </is>
      </c>
      <c r="E232" s="21" t="inlineStr">
        <is>
          <t>Réunion d'origine</t>
        </is>
      </c>
      <c r="F232" s="21" t="inlineStr">
        <is>
          <t>oui</t>
        </is>
      </c>
      <c r="G232" s="21" t="inlineStr"/>
    </row>
    <row r="233">
      <c r="A233" s="21" t="inlineStr">
        <is>
          <t>points_action</t>
        </is>
      </c>
      <c r="B233" s="21" t="inlineStr">
        <is>
          <t>Points d'action issus des réunions</t>
        </is>
      </c>
      <c r="C233" s="21" t="inlineStr">
        <is>
          <t>action</t>
        </is>
      </c>
      <c r="D233" s="21" t="inlineStr">
        <is>
          <t>texte</t>
        </is>
      </c>
      <c r="E233" s="21" t="inlineStr">
        <is>
          <t>Action à mener</t>
        </is>
      </c>
      <c r="F233" s="21" t="inlineStr">
        <is>
          <t>oui</t>
        </is>
      </c>
      <c r="G233" s="21" t="inlineStr"/>
    </row>
    <row r="234">
      <c r="A234" s="21" t="inlineStr">
        <is>
          <t>points_action</t>
        </is>
      </c>
      <c r="B234" s="21" t="inlineStr">
        <is>
          <t>Points d'action issus des réunions</t>
        </is>
      </c>
      <c r="C234" s="21" t="inlineStr">
        <is>
          <t>concerne_cgpp</t>
        </is>
      </c>
      <c r="D234" s="21" t="inlineStr">
        <is>
          <t>texte</t>
        </is>
      </c>
      <c r="E234" s="21" t="inlineStr">
        <is>
          <t>Implique CGPP (O/N)</t>
        </is>
      </c>
      <c r="F234" s="21" t="inlineStr">
        <is>
          <t>oui</t>
        </is>
      </c>
      <c r="G234" s="21" t="inlineStr">
        <is>
          <t>liste « oui_non»</t>
        </is>
      </c>
    </row>
    <row r="235">
      <c r="A235" s="21" t="inlineStr">
        <is>
          <t>points_action</t>
        </is>
      </c>
      <c r="B235" s="21" t="inlineStr">
        <is>
          <t>Points d'action issus des réunions</t>
        </is>
      </c>
      <c r="C235" s="21" t="inlineStr">
        <is>
          <t>responsable</t>
        </is>
      </c>
      <c r="D235" s="21" t="inlineStr">
        <is>
          <t>texte</t>
        </is>
      </c>
      <c r="E235" s="21" t="inlineStr">
        <is>
          <t>Responsable</t>
        </is>
      </c>
      <c r="F235" s="21" t="inlineStr">
        <is>
          <t>non</t>
        </is>
      </c>
      <c r="G235" s="21" t="inlineStr"/>
    </row>
    <row r="236">
      <c r="A236" s="21" t="inlineStr">
        <is>
          <t>points_action</t>
        </is>
      </c>
      <c r="B236" s="21" t="inlineStr">
        <is>
          <t>Points d'action issus des réunions</t>
        </is>
      </c>
      <c r="C236" s="21" t="inlineStr">
        <is>
          <t>echeance</t>
        </is>
      </c>
      <c r="D236" s="21" t="inlineStr">
        <is>
          <t>date</t>
        </is>
      </c>
      <c r="E236" s="21" t="inlineStr">
        <is>
          <t>Échéance</t>
        </is>
      </c>
      <c r="F236" s="21" t="inlineStr">
        <is>
          <t>non</t>
        </is>
      </c>
      <c r="G236" s="21" t="inlineStr"/>
    </row>
    <row r="237">
      <c r="A237" s="21" t="inlineStr">
        <is>
          <t>points_action</t>
        </is>
      </c>
      <c r="B237" s="21" t="inlineStr">
        <is>
          <t>Points d'action issus des réunions</t>
        </is>
      </c>
      <c r="C237" s="21" t="inlineStr">
        <is>
          <t>statut</t>
        </is>
      </c>
      <c r="D237" s="21" t="inlineStr">
        <is>
          <t>texte</t>
        </is>
      </c>
      <c r="E237" s="21" t="inlineStr">
        <is>
          <t>À faire / En cours / Réalisé / Abandonné</t>
        </is>
      </c>
      <c r="F237" s="21" t="inlineStr">
        <is>
          <t>oui</t>
        </is>
      </c>
      <c r="G237" s="21" t="inlineStr">
        <is>
          <t>liste « statut_action»</t>
        </is>
      </c>
    </row>
    <row r="238">
      <c r="A238" s="21" t="inlineStr">
        <is>
          <t>points_action</t>
        </is>
      </c>
      <c r="B238" s="21" t="inlineStr">
        <is>
          <t>Points d'action issus des réunions</t>
        </is>
      </c>
      <c r="C238" s="21" t="inlineStr">
        <is>
          <t>date_statut</t>
        </is>
      </c>
      <c r="D238" s="21" t="inlineStr">
        <is>
          <t>date</t>
        </is>
      </c>
      <c r="E238" s="21" t="inlineStr">
        <is>
          <t>Date du dernier statut</t>
        </is>
      </c>
      <c r="F238" s="21" t="inlineStr">
        <is>
          <t>non</t>
        </is>
      </c>
      <c r="G238" s="21" t="inlineStr"/>
    </row>
    <row r="239">
      <c r="A239" s="21" t="inlineStr">
        <is>
          <t>points_action</t>
        </is>
      </c>
      <c r="B239" s="21" t="inlineStr">
        <is>
          <t>Points d'action issus des réunions</t>
        </is>
      </c>
      <c r="C239" s="21" t="inlineStr">
        <is>
          <t>commentaire</t>
        </is>
      </c>
      <c r="D239" s="21" t="inlineStr">
        <is>
          <t>texte</t>
        </is>
      </c>
      <c r="E239" s="21" t="inlineStr">
        <is>
          <t>Remarque</t>
        </is>
      </c>
      <c r="F239" s="21" t="inlineStr">
        <is>
          <t>non</t>
        </is>
      </c>
      <c r="G239" s="21" t="inlineStr"/>
    </row>
    <row r="240">
      <c r="A240" s="21" t="inlineStr">
        <is>
          <t>autres_epidemies</t>
        </is>
      </c>
      <c r="B240" s="21" t="inlineStr">
        <is>
          <t>Autres épidémies dans les provinces d'intervention (choléra, mpox, rougeole) et alertes des RECO CGPP</t>
        </is>
      </c>
      <c r="C240" s="21" t="inlineStr">
        <is>
          <t>annee</t>
        </is>
      </c>
      <c r="D240" s="21" t="inlineStr">
        <is>
          <t>entier</t>
        </is>
      </c>
      <c r="E240" s="21" t="inlineStr">
        <is>
          <t>Année</t>
        </is>
      </c>
      <c r="F240" s="21" t="inlineStr">
        <is>
          <t>oui</t>
        </is>
      </c>
      <c r="G240" s="21" t="inlineStr"/>
    </row>
    <row r="241">
      <c r="A241" s="21" t="inlineStr">
        <is>
          <t>autres_epidemies</t>
        </is>
      </c>
      <c r="B241" s="21" t="inlineStr">
        <is>
          <t>Autres épidémies dans les provinces d'intervention (choléra, mpox, rougeole) et alertes des RECO CGPP</t>
        </is>
      </c>
      <c r="C241" s="21" t="inlineStr">
        <is>
          <t>semaine_epi</t>
        </is>
      </c>
      <c r="D241" s="21" t="inlineStr">
        <is>
          <t>entier</t>
        </is>
      </c>
      <c r="E241" s="21" t="inlineStr">
        <is>
          <t>Semaine épidémiologique</t>
        </is>
      </c>
      <c r="F241" s="21" t="inlineStr">
        <is>
          <t>oui</t>
        </is>
      </c>
      <c r="G241" s="21" t="inlineStr"/>
    </row>
    <row r="242">
      <c r="A242" s="21" t="inlineStr">
        <is>
          <t>autres_epidemies</t>
        </is>
      </c>
      <c r="B242" s="21" t="inlineStr">
        <is>
          <t>Autres épidémies dans les provinces d'intervention (choléra, mpox, rougeole) et alertes des RECO CGPP</t>
        </is>
      </c>
      <c r="C242" s="21" t="inlineStr">
        <is>
          <t>province</t>
        </is>
      </c>
      <c r="D242" s="21" t="inlineStr">
        <is>
          <t>texte</t>
        </is>
      </c>
      <c r="E242" s="21" t="inlineStr">
        <is>
          <t>Province</t>
        </is>
      </c>
      <c r="F242" s="21" t="inlineStr">
        <is>
          <t>oui</t>
        </is>
      </c>
      <c r="G242" s="21" t="inlineStr">
        <is>
          <t>liste « provinces»</t>
        </is>
      </c>
    </row>
    <row r="243">
      <c r="A243" s="21" t="inlineStr">
        <is>
          <t>autres_epidemies</t>
        </is>
      </c>
      <c r="B243" s="21" t="inlineStr">
        <is>
          <t>Autres épidémies dans les provinces d'intervention (choléra, mpox, rougeole) et alertes des RECO CGPP</t>
        </is>
      </c>
      <c r="C243" s="21" t="inlineStr">
        <is>
          <t>maladie</t>
        </is>
      </c>
      <c r="D243" s="21" t="inlineStr">
        <is>
          <t>texte</t>
        </is>
      </c>
      <c r="E243" s="21" t="inlineStr">
        <is>
          <t>Maladie</t>
        </is>
      </c>
      <c r="F243" s="21" t="inlineStr">
        <is>
          <t>oui</t>
        </is>
      </c>
      <c r="G243" s="21" t="inlineStr">
        <is>
          <t>liste « maladies»</t>
        </is>
      </c>
    </row>
    <row r="244">
      <c r="A244" s="21" t="inlineStr">
        <is>
          <t>autres_epidemies</t>
        </is>
      </c>
      <c r="B244" s="21" t="inlineStr">
        <is>
          <t>Autres épidémies dans les provinces d'intervention (choléra, mpox, rougeole) et alertes des RECO CGPP</t>
        </is>
      </c>
      <c r="C244" s="21" t="inlineStr">
        <is>
          <t>zs_notifiantes</t>
        </is>
      </c>
      <c r="D244" s="21" t="inlineStr">
        <is>
          <t>entier</t>
        </is>
      </c>
      <c r="E244" s="21" t="inlineStr">
        <is>
          <t>ZS ayant notifié des cas</t>
        </is>
      </c>
      <c r="F244" s="21" t="inlineStr">
        <is>
          <t>non</t>
        </is>
      </c>
      <c r="G244" s="21" t="inlineStr"/>
    </row>
    <row r="245">
      <c r="A245" s="21" t="inlineStr">
        <is>
          <t>autres_epidemies</t>
        </is>
      </c>
      <c r="B245" s="21" t="inlineStr">
        <is>
          <t>Autres épidémies dans les provinces d'intervention (choléra, mpox, rougeole) et alertes des RECO CGPP</t>
        </is>
      </c>
      <c r="C245" s="21" t="inlineStr">
        <is>
          <t>zs_total</t>
        </is>
      </c>
      <c r="D245" s="21" t="inlineStr">
        <is>
          <t>entier</t>
        </is>
      </c>
      <c r="E245" s="21" t="inlineStr">
        <is>
          <t>ZS de la province</t>
        </is>
      </c>
      <c r="F245" s="21" t="inlineStr">
        <is>
          <t>non</t>
        </is>
      </c>
      <c r="G245" s="21" t="inlineStr"/>
    </row>
    <row r="246">
      <c r="A246" s="21" t="inlineStr">
        <is>
          <t>autres_epidemies</t>
        </is>
      </c>
      <c r="B246" s="21" t="inlineStr">
        <is>
          <t>Autres épidémies dans les provinces d'intervention (choléra, mpox, rougeole) et alertes des RECO CGPP</t>
        </is>
      </c>
      <c r="C246" s="21" t="inlineStr">
        <is>
          <t>cas</t>
        </is>
      </c>
      <c r="D246" s="21" t="inlineStr">
        <is>
          <t>entier</t>
        </is>
      </c>
      <c r="E246" s="21" t="inlineStr">
        <is>
          <t>Cas notifiés dans la semaine</t>
        </is>
      </c>
      <c r="F246" s="21" t="inlineStr">
        <is>
          <t>non</t>
        </is>
      </c>
      <c r="G246" s="21" t="inlineStr"/>
    </row>
    <row r="247">
      <c r="A247" s="21" t="inlineStr">
        <is>
          <t>autres_epidemies</t>
        </is>
      </c>
      <c r="B247" s="21" t="inlineStr">
        <is>
          <t>Autres épidémies dans les provinces d'intervention (choléra, mpox, rougeole) et alertes des RECO CGPP</t>
        </is>
      </c>
      <c r="C247" s="21" t="inlineStr">
        <is>
          <t>deces</t>
        </is>
      </c>
      <c r="D247" s="21" t="inlineStr">
        <is>
          <t>entier</t>
        </is>
      </c>
      <c r="E247" s="21" t="inlineStr">
        <is>
          <t>Décès notifiés dans la semaine</t>
        </is>
      </c>
      <c r="F247" s="21" t="inlineStr">
        <is>
          <t>non</t>
        </is>
      </c>
      <c r="G247" s="21" t="inlineStr"/>
    </row>
    <row r="248">
      <c r="A248" s="21" t="inlineStr">
        <is>
          <t>autres_epidemies</t>
        </is>
      </c>
      <c r="B248" s="21" t="inlineStr">
        <is>
          <t>Autres épidémies dans les provinces d'intervention (choléra, mpox, rougeole) et alertes des RECO CGPP</t>
        </is>
      </c>
      <c r="C248" s="21" t="inlineStr">
        <is>
          <t>zs_en_epidemie</t>
        </is>
      </c>
      <c r="D248" s="21" t="inlineStr">
        <is>
          <t>texte</t>
        </is>
      </c>
      <c r="E248" s="21" t="inlineStr">
        <is>
          <t>ZS en épidémie (liste)</t>
        </is>
      </c>
      <c r="F248" s="21" t="inlineStr">
        <is>
          <t>non</t>
        </is>
      </c>
      <c r="G248" s="21" t="inlineStr"/>
    </row>
    <row r="249">
      <c r="A249" s="21" t="inlineStr">
        <is>
          <t>autres_epidemies</t>
        </is>
      </c>
      <c r="B249" s="21" t="inlineStr">
        <is>
          <t>Autres épidémies dans les provinces d'intervention (choléra, mpox, rougeole) et alertes des RECO CGPP</t>
        </is>
      </c>
      <c r="C249" s="21" t="inlineStr">
        <is>
          <t>zs_cgpp_concernees</t>
        </is>
      </c>
      <c r="D249" s="21" t="inlineStr">
        <is>
          <t>texte</t>
        </is>
      </c>
      <c r="E249" s="21" t="inlineStr">
        <is>
          <t>ZS du dispositif CGPP concernées (cas ou épidémie)</t>
        </is>
      </c>
      <c r="F249" s="21" t="inlineStr">
        <is>
          <t>non</t>
        </is>
      </c>
      <c r="G249" s="21" t="inlineStr"/>
    </row>
    <row r="250">
      <c r="A250" s="21" t="inlineStr">
        <is>
          <t>autres_epidemies</t>
        </is>
      </c>
      <c r="B250" s="21" t="inlineStr">
        <is>
          <t>Autres épidémies dans les provinces d'intervention (choléra, mpox, rougeole) et alertes des RECO CGPP</t>
        </is>
      </c>
      <c r="C250" s="21" t="inlineStr">
        <is>
          <t>cas_suspects_referes_cgpp</t>
        </is>
      </c>
      <c r="D250" s="21" t="inlineStr">
        <is>
          <t>entier</t>
        </is>
      </c>
      <c r="E250" s="21" t="inlineStr">
        <is>
          <t>Cas suspects alertés et référés par les RECO CGPP</t>
        </is>
      </c>
      <c r="F250" s="21" t="inlineStr">
        <is>
          <t>non</t>
        </is>
      </c>
      <c r="G250" s="21" t="inlineStr"/>
    </row>
    <row r="251">
      <c r="A251" s="21" t="inlineStr">
        <is>
          <t>autres_epidemies</t>
        </is>
      </c>
      <c r="B251" s="21" t="inlineStr">
        <is>
          <t>Autres épidémies dans les provinces d'intervention (choléra, mpox, rougeole) et alertes des RECO CGPP</t>
        </is>
      </c>
      <c r="C251" s="21" t="inlineStr">
        <is>
          <t>detail_references</t>
        </is>
      </c>
      <c r="D251" s="21" t="inlineStr">
        <is>
          <t>texte</t>
        </is>
      </c>
      <c r="E251" s="21" t="inlineStr">
        <is>
          <t>Détail des références par ZS</t>
        </is>
      </c>
      <c r="F251" s="21" t="inlineStr">
        <is>
          <t>non</t>
        </is>
      </c>
      <c r="G251" s="21" t="inlineStr"/>
    </row>
    <row r="252">
      <c r="A252" s="21" t="inlineStr">
        <is>
          <t>autres_epidemies</t>
        </is>
      </c>
      <c r="B252" s="21" t="inlineStr">
        <is>
          <t>Autres épidémies dans les provinces d'intervention (choléra, mpox, rougeole) et alertes des RECO CGPP</t>
        </is>
      </c>
      <c r="C252" s="21" t="inlineStr">
        <is>
          <t>source</t>
        </is>
      </c>
      <c r="D252" s="21" t="inlineStr">
        <is>
          <t>texte</t>
        </is>
      </c>
      <c r="E252" s="21" t="inlineStr">
        <is>
          <t>Document d'origine</t>
        </is>
      </c>
      <c r="F252" s="21" t="inlineStr">
        <is>
          <t>oui</t>
        </is>
      </c>
      <c r="G252" s="21" t="inlineStr"/>
    </row>
    <row r="253">
      <c r="A253" s="21" t="inlineStr">
        <is>
          <t>sitrep_notes</t>
        </is>
      </c>
      <c r="B253" s="21" t="inlineStr">
        <is>
          <t>Notes de rédaction du SitRep CGPP (faits marquants, défis, actions) saisies par l'équipe</t>
        </is>
      </c>
      <c r="C253" s="21" t="inlineStr">
        <is>
          <t>date_rapport</t>
        </is>
      </c>
      <c r="D253" s="21" t="inlineStr">
        <is>
          <t>date</t>
        </is>
      </c>
      <c r="E253" s="21" t="inlineStr">
        <is>
          <t>Date du SitRep concerné</t>
        </is>
      </c>
      <c r="F253" s="21" t="inlineStr">
        <is>
          <t>oui</t>
        </is>
      </c>
      <c r="G253" s="21" t="inlineStr"/>
    </row>
    <row r="254">
      <c r="A254" s="21" t="inlineStr">
        <is>
          <t>sitrep_notes</t>
        </is>
      </c>
      <c r="B254" s="21" t="inlineStr">
        <is>
          <t>Notes de rédaction du SitRep CGPP (faits marquants, défis, actions) saisies par l'équipe</t>
        </is>
      </c>
      <c r="C254" s="21" t="inlineStr">
        <is>
          <t>section</t>
        </is>
      </c>
      <c r="D254" s="21" t="inlineStr">
        <is>
          <t>texte</t>
        </is>
      </c>
      <c r="E254" s="21" t="inlineStr">
        <is>
          <t>Faits marquants / Activités / Sécurité / Défis / Actions / Commentaire</t>
        </is>
      </c>
      <c r="F254" s="21" t="inlineStr">
        <is>
          <t>oui</t>
        </is>
      </c>
      <c r="G254" s="21" t="inlineStr">
        <is>
          <t>liste « section_note»</t>
        </is>
      </c>
    </row>
    <row r="255">
      <c r="A255" s="21" t="inlineStr">
        <is>
          <t>sitrep_notes</t>
        </is>
      </c>
      <c r="B255" s="21" t="inlineStr">
        <is>
          <t>Notes de rédaction du SitRep CGPP (faits marquants, défis, actions) saisies par l'équipe</t>
        </is>
      </c>
      <c r="C255" s="21" t="inlineStr">
        <is>
          <t>ordre</t>
        </is>
      </c>
      <c r="D255" s="21" t="inlineStr">
        <is>
          <t>entier</t>
        </is>
      </c>
      <c r="E255" s="21" t="inlineStr">
        <is>
          <t>Ordre d'affichage</t>
        </is>
      </c>
      <c r="F255" s="21" t="inlineStr">
        <is>
          <t>oui</t>
        </is>
      </c>
      <c r="G255" s="21" t="inlineStr"/>
    </row>
    <row r="256">
      <c r="A256" s="21" t="inlineStr">
        <is>
          <t>sitrep_notes</t>
        </is>
      </c>
      <c r="B256" s="21" t="inlineStr">
        <is>
          <t>Notes de rédaction du SitRep CGPP (faits marquants, défis, actions) saisies par l'équipe</t>
        </is>
      </c>
      <c r="C256" s="21" t="inlineStr">
        <is>
          <t>texte</t>
        </is>
      </c>
      <c r="D256" s="21" t="inlineStr">
        <is>
          <t>texte</t>
        </is>
      </c>
      <c r="E256" s="21" t="inlineStr">
        <is>
          <t>Texte (une idée par ligne, phrase complète)</t>
        </is>
      </c>
      <c r="F256" s="21" t="inlineStr">
        <is>
          <t>oui</t>
        </is>
      </c>
      <c r="G256" s="21" t="inlineStr"/>
    </row>
    <row r="257">
      <c r="A257" s="21" t="inlineStr">
        <is>
          <t>sitrep_notes</t>
        </is>
      </c>
      <c r="B257" s="21" t="inlineStr">
        <is>
          <t>Notes de rédaction du SitRep CGPP (faits marquants, défis, actions) saisies par l'équipe</t>
        </is>
      </c>
      <c r="C257" s="21" t="inlineStr">
        <is>
          <t>auteur</t>
        </is>
      </c>
      <c r="D257" s="21" t="inlineStr">
        <is>
          <t>texte</t>
        </is>
      </c>
      <c r="E257" s="21" t="inlineStr">
        <is>
          <t>Auteur</t>
        </is>
      </c>
      <c r="F257" s="21" t="inlineStr">
        <is>
          <t>non</t>
        </is>
      </c>
      <c r="G257" s="21" t="inlineStr"/>
    </row>
    <row r="258">
      <c r="A258" s="21" t="inlineStr">
        <is>
          <t>qc_suivi</t>
        </is>
      </c>
      <c r="B258" s="21" t="inlineStr">
        <is>
          <t>Suivi des anomalies de qualité des données</t>
        </is>
      </c>
      <c r="C258" s="21" t="inlineStr">
        <is>
          <t>id_anomalie</t>
        </is>
      </c>
      <c r="D258" s="21" t="inlineStr">
        <is>
          <t>texte</t>
        </is>
      </c>
      <c r="E258" s="21" t="inlineStr">
        <is>
          <t>Identifiant (règle + objet)</t>
        </is>
      </c>
      <c r="F258" s="21" t="inlineStr">
        <is>
          <t>oui</t>
        </is>
      </c>
      <c r="G258" s="21" t="inlineStr"/>
    </row>
    <row r="259">
      <c r="A259" s="21" t="inlineStr">
        <is>
          <t>qc_suivi</t>
        </is>
      </c>
      <c r="B259" s="21" t="inlineStr">
        <is>
          <t>Suivi des anomalies de qualité des données</t>
        </is>
      </c>
      <c r="C259" s="21" t="inlineStr">
        <is>
          <t>date_detection</t>
        </is>
      </c>
      <c r="D259" s="21" t="inlineStr">
        <is>
          <t>date</t>
        </is>
      </c>
      <c r="E259" s="21" t="inlineStr">
        <is>
          <t>Date de détection</t>
        </is>
      </c>
      <c r="F259" s="21" t="inlineStr">
        <is>
          <t>oui</t>
        </is>
      </c>
      <c r="G259" s="21" t="inlineStr"/>
    </row>
    <row r="260">
      <c r="A260" s="21" t="inlineStr">
        <is>
          <t>qc_suivi</t>
        </is>
      </c>
      <c r="B260" s="21" t="inlineStr">
        <is>
          <t>Suivi des anomalies de qualité des données</t>
        </is>
      </c>
      <c r="C260" s="21" t="inlineStr">
        <is>
          <t>regle</t>
        </is>
      </c>
      <c r="D260" s="21" t="inlineStr">
        <is>
          <t>texte</t>
        </is>
      </c>
      <c r="E260" s="21" t="inlineStr">
        <is>
          <t>Règle de contrôle</t>
        </is>
      </c>
      <c r="F260" s="21" t="inlineStr">
        <is>
          <t>oui</t>
        </is>
      </c>
      <c r="G260" s="21" t="inlineStr"/>
    </row>
    <row r="261">
      <c r="A261" s="21" t="inlineStr">
        <is>
          <t>qc_suivi</t>
        </is>
      </c>
      <c r="B261" s="21" t="inlineStr">
        <is>
          <t>Suivi des anomalies de qualité des données</t>
        </is>
      </c>
      <c r="C261" s="21" t="inlineStr">
        <is>
          <t>source</t>
        </is>
      </c>
      <c r="D261" s="21" t="inlineStr">
        <is>
          <t>texte</t>
        </is>
      </c>
      <c r="E261" s="21" t="inlineStr">
        <is>
          <t>Source concernée</t>
        </is>
      </c>
      <c r="F261" s="21" t="inlineStr">
        <is>
          <t>oui</t>
        </is>
      </c>
      <c r="G261" s="21" t="inlineStr"/>
    </row>
    <row r="262">
      <c r="A262" s="21" t="inlineStr">
        <is>
          <t>qc_suivi</t>
        </is>
      </c>
      <c r="B262" s="21" t="inlineStr">
        <is>
          <t>Suivi des anomalies de qualité des données</t>
        </is>
      </c>
      <c r="C262" s="21" t="inlineStr">
        <is>
          <t>objet</t>
        </is>
      </c>
      <c r="D262" s="21" t="inlineStr">
        <is>
          <t>texte</t>
        </is>
      </c>
      <c r="E262" s="21" t="inlineStr">
        <is>
          <t>Élément concerné</t>
        </is>
      </c>
      <c r="F262" s="21" t="inlineStr">
        <is>
          <t>non</t>
        </is>
      </c>
      <c r="G262" s="21" t="inlineStr"/>
    </row>
    <row r="263">
      <c r="A263" s="21" t="inlineStr">
        <is>
          <t>qc_suivi</t>
        </is>
      </c>
      <c r="B263" s="21" t="inlineStr">
        <is>
          <t>Suivi des anomalies de qualité des données</t>
        </is>
      </c>
      <c r="C263" s="21" t="inlineStr">
        <is>
          <t>description</t>
        </is>
      </c>
      <c r="D263" s="21" t="inlineStr">
        <is>
          <t>texte</t>
        </is>
      </c>
      <c r="E263" s="21" t="inlineStr">
        <is>
          <t>Description</t>
        </is>
      </c>
      <c r="F263" s="21" t="inlineStr">
        <is>
          <t>oui</t>
        </is>
      </c>
      <c r="G263" s="21" t="inlineStr"/>
    </row>
    <row r="264">
      <c r="A264" s="21" t="inlineStr">
        <is>
          <t>qc_suivi</t>
        </is>
      </c>
      <c r="B264" s="21" t="inlineStr">
        <is>
          <t>Suivi des anomalies de qualité des données</t>
        </is>
      </c>
      <c r="C264" s="21" t="inlineStr">
        <is>
          <t>gravite</t>
        </is>
      </c>
      <c r="D264" s="21" t="inlineStr">
        <is>
          <t>texte</t>
        </is>
      </c>
      <c r="E264" s="21" t="inlineStr">
        <is>
          <t>Critique / Majeure / Mineure</t>
        </is>
      </c>
      <c r="F264" s="21" t="inlineStr">
        <is>
          <t>oui</t>
        </is>
      </c>
      <c r="G264" s="21" t="inlineStr">
        <is>
          <t>liste « gravite»</t>
        </is>
      </c>
    </row>
    <row r="265">
      <c r="A265" s="21" t="inlineStr">
        <is>
          <t>qc_suivi</t>
        </is>
      </c>
      <c r="B265" s="21" t="inlineStr">
        <is>
          <t>Suivi des anomalies de qualité des données</t>
        </is>
      </c>
      <c r="C265" s="21" t="inlineStr">
        <is>
          <t>responsable</t>
        </is>
      </c>
      <c r="D265" s="21" t="inlineStr">
        <is>
          <t>texte</t>
        </is>
      </c>
      <c r="E265" s="21" t="inlineStr">
        <is>
          <t>Responsable de la correction</t>
        </is>
      </c>
      <c r="F265" s="21" t="inlineStr">
        <is>
          <t>non</t>
        </is>
      </c>
      <c r="G265" s="21" t="inlineStr"/>
    </row>
    <row r="266">
      <c r="A266" s="21" t="inlineStr">
        <is>
          <t>qc_suivi</t>
        </is>
      </c>
      <c r="B266" s="21" t="inlineStr">
        <is>
          <t>Suivi des anomalies de qualité des données</t>
        </is>
      </c>
      <c r="C266" s="21" t="inlineStr">
        <is>
          <t>statut</t>
        </is>
      </c>
      <c r="D266" s="21" t="inlineStr">
        <is>
          <t>texte</t>
        </is>
      </c>
      <c r="E266" s="21" t="inlineStr">
        <is>
          <t>Ouverte / Corrigée / Acceptée</t>
        </is>
      </c>
      <c r="F266" s="21" t="inlineStr">
        <is>
          <t>oui</t>
        </is>
      </c>
      <c r="G266" s="21" t="inlineStr">
        <is>
          <t>liste « statut_anomalie»</t>
        </is>
      </c>
    </row>
    <row r="267">
      <c r="A267" s="21" t="inlineStr">
        <is>
          <t>qc_suivi</t>
        </is>
      </c>
      <c r="B267" s="21" t="inlineStr">
        <is>
          <t>Suivi des anomalies de qualité des données</t>
        </is>
      </c>
      <c r="C267" s="21" t="inlineStr">
        <is>
          <t>date_resolution</t>
        </is>
      </c>
      <c r="D267" s="21" t="inlineStr">
        <is>
          <t>date</t>
        </is>
      </c>
      <c r="E267" s="21" t="inlineStr">
        <is>
          <t>Date de résolution</t>
        </is>
      </c>
      <c r="F267" s="21" t="inlineStr">
        <is>
          <t>non</t>
        </is>
      </c>
      <c r="G267" s="21" t="inlineStr"/>
    </row>
  </sheetData>
  <autoFilter ref="A1:G267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42" customWidth="1" min="8" max="8"/>
    <col width="14" customWidth="1" min="9" max="9"/>
    <col width="15" customWidth="1" min="10" max="10"/>
    <col width="14" customWidth="1" min="11" max="11"/>
    <col width="14" customWidth="1" min="12" max="12"/>
    <col width="14" customWidth="1" min="13" max="13"/>
    <col width="17" customWidth="1" min="14" max="14"/>
    <col width="14" customWidth="1" min="15" max="15"/>
  </cols>
  <sheetData>
    <row r="1">
      <c r="A1" s="22" t="inlineStr">
        <is>
          <t>provinces</t>
        </is>
      </c>
      <c r="B1" s="22" t="inlineStr">
        <is>
          <t>ip</t>
        </is>
      </c>
      <c r="C1" s="22" t="inlineStr">
        <is>
          <t>statut_cgpp</t>
        </is>
      </c>
      <c r="D1" s="22" t="inlineStr">
        <is>
          <t>piliers</t>
        </is>
      </c>
      <c r="E1" s="22" t="inlineStr">
        <is>
          <t>type_indicateur</t>
        </is>
      </c>
      <c r="F1" s="22" t="inlineStr">
        <is>
          <t>statut_indicateur</t>
        </is>
      </c>
      <c r="G1" s="22" t="inlineStr">
        <is>
          <t>statut_donnees</t>
        </is>
      </c>
      <c r="H1" s="22" t="inlineStr">
        <is>
          <t>types_site</t>
        </is>
      </c>
      <c r="I1" s="22" t="inlineStr">
        <is>
          <t>oui_non</t>
        </is>
      </c>
      <c r="J1" s="22" t="inlineStr">
        <is>
          <t>niveau_reunion</t>
        </is>
      </c>
      <c r="K1" s="22" t="inlineStr">
        <is>
          <t>statut_action</t>
        </is>
      </c>
      <c r="L1" s="22" t="inlineStr">
        <is>
          <t>gravite</t>
        </is>
      </c>
      <c r="M1" s="22" t="inlineStr">
        <is>
          <t>statut_anomalie</t>
        </is>
      </c>
      <c r="N1" s="22" t="inlineStr">
        <is>
          <t>section_note</t>
        </is>
      </c>
      <c r="O1" s="22" t="inlineStr">
        <is>
          <t>maladies</t>
        </is>
      </c>
    </row>
    <row r="2">
      <c r="A2" s="3" t="inlineStr">
        <is>
          <t>Ituri</t>
        </is>
      </c>
      <c r="B2" s="3" t="inlineStr">
        <is>
          <t>WV</t>
        </is>
      </c>
      <c r="C2" s="3" t="inlineStr">
        <is>
          <t>intervention</t>
        </is>
      </c>
      <c r="D2" s="3" t="inlineStr">
        <is>
          <t>COORD</t>
        </is>
      </c>
      <c r="E2" s="3" t="inlineStr">
        <is>
          <t>Nombre</t>
        </is>
      </c>
      <c r="F2" s="3" t="inlineStr">
        <is>
          <t>existant</t>
        </is>
      </c>
      <c r="G2" s="3" t="inlineStr">
        <is>
          <t>OK</t>
        </is>
      </c>
      <c r="H2" s="3" t="inlineStr">
        <is>
          <t>CPN</t>
        </is>
      </c>
      <c r="I2" s="3" t="inlineStr">
        <is>
          <t>O</t>
        </is>
      </c>
      <c r="J2" s="3" t="inlineStr">
        <is>
          <t>National</t>
        </is>
      </c>
      <c r="K2" s="3" t="inlineStr">
        <is>
          <t>À faire</t>
        </is>
      </c>
      <c r="L2" s="3" t="inlineStr">
        <is>
          <t>Critique</t>
        </is>
      </c>
      <c r="M2" s="3" t="inlineStr">
        <is>
          <t>Ouverte</t>
        </is>
      </c>
      <c r="N2" s="3" t="inlineStr">
        <is>
          <t>Faits marquants</t>
        </is>
      </c>
      <c r="O2" s="3" t="inlineStr">
        <is>
          <t>Choléra</t>
        </is>
      </c>
    </row>
    <row r="3">
      <c r="A3" s="3" t="inlineStr">
        <is>
          <t>Nord-Kivu</t>
        </is>
      </c>
      <c r="B3" s="3" t="inlineStr">
        <is>
          <t>ADRA</t>
        </is>
      </c>
      <c r="C3" s="3" t="inlineStr">
        <is>
          <t>préparation</t>
        </is>
      </c>
      <c r="D3" s="3" t="inlineStr">
        <is>
          <t>SURV</t>
        </is>
      </c>
      <c r="E3" s="3" t="inlineStr">
        <is>
          <t>Pourcentage</t>
        </is>
      </c>
      <c r="F3" s="3" t="inlineStr">
        <is>
          <t>à corriger</t>
        </is>
      </c>
      <c r="G3" s="3" t="inlineStr">
        <is>
          <t>ND</t>
        </is>
      </c>
      <c r="H3" s="3" t="inlineStr">
        <is>
          <t>CPS</t>
        </is>
      </c>
      <c r="I3" s="3" t="inlineStr">
        <is>
          <t>N</t>
        </is>
      </c>
      <c r="J3" s="3" t="inlineStr">
        <is>
          <t>Provincial</t>
        </is>
      </c>
      <c r="K3" s="3" t="inlineStr">
        <is>
          <t>En cours</t>
        </is>
      </c>
      <c r="L3" s="3" t="inlineStr">
        <is>
          <t>Majeure</t>
        </is>
      </c>
      <c r="M3" s="3" t="inlineStr">
        <is>
          <t>Corrigée</t>
        </is>
      </c>
      <c r="N3" s="3" t="inlineStr">
        <is>
          <t>Activités</t>
        </is>
      </c>
      <c r="O3" s="3" t="inlineStr">
        <is>
          <t>Mpox</t>
        </is>
      </c>
    </row>
    <row r="4">
      <c r="A4" s="3" t="inlineStr">
        <is>
          <t>Haut-Uélé</t>
        </is>
      </c>
      <c r="B4" s="3" t="inlineStr">
        <is>
          <t>IMC</t>
        </is>
      </c>
      <c r="C4" s="3" t="inlineStr">
        <is>
          <t>hors zone CGPP</t>
        </is>
      </c>
      <c r="D4" s="3" t="inlineStr">
        <is>
          <t>CREC</t>
        </is>
      </c>
      <c r="E4" s="3" t="inlineStr">
        <is>
          <t>Délai</t>
        </is>
      </c>
      <c r="F4" s="3" t="inlineStr">
        <is>
          <t>nouveau</t>
        </is>
      </c>
      <c r="G4" s="1" t="n"/>
      <c r="H4" s="3" t="inlineStr">
        <is>
          <t>Porte à porte (VAD)</t>
        </is>
      </c>
      <c r="I4" s="1" t="n"/>
      <c r="J4" s="3" t="inlineStr">
        <is>
          <t>Zone de santé</t>
        </is>
      </c>
      <c r="K4" s="3" t="inlineStr">
        <is>
          <t>Réalisé</t>
        </is>
      </c>
      <c r="L4" s="3" t="inlineStr">
        <is>
          <t>Mineure</t>
        </is>
      </c>
      <c r="M4" s="3" t="inlineStr">
        <is>
          <t>Acceptée</t>
        </is>
      </c>
      <c r="N4" s="3" t="inlineStr">
        <is>
          <t>Sécurité</t>
        </is>
      </c>
      <c r="O4" s="3" t="inlineStr">
        <is>
          <t>Rougeole</t>
        </is>
      </c>
    </row>
    <row r="5">
      <c r="A5" s="3" t="inlineStr">
        <is>
          <t>Bas-Uélé</t>
        </is>
      </c>
      <c r="B5" s="3" t="inlineStr">
        <is>
          <t>IRC</t>
        </is>
      </c>
      <c r="C5" s="1" t="n"/>
      <c r="D5" s="3" t="inlineStr">
        <is>
          <t>PCI</t>
        </is>
      </c>
      <c r="E5" s="3" t="inlineStr">
        <is>
          <t>Ratio</t>
        </is>
      </c>
      <c r="F5" s="1" t="n"/>
      <c r="G5" s="1" t="n"/>
      <c r="H5" s="3" t="inlineStr">
        <is>
          <t>Lieu religieux (église)</t>
        </is>
      </c>
      <c r="I5" s="1" t="n"/>
      <c r="J5" s="3" t="inlineStr">
        <is>
          <t>Pilier</t>
        </is>
      </c>
      <c r="K5" s="3" t="inlineStr">
        <is>
          <t>Abandonné</t>
        </is>
      </c>
      <c r="L5" s="1" t="n"/>
      <c r="M5" s="1" t="n"/>
      <c r="N5" s="3" t="inlineStr">
        <is>
          <t>Défis</t>
        </is>
      </c>
      <c r="O5" s="3" t="inlineStr">
        <is>
          <t>Autre</t>
        </is>
      </c>
    </row>
    <row r="6">
      <c r="A6" s="3" t="inlineStr">
        <is>
          <t>Tshopo</t>
        </is>
      </c>
      <c r="B6" s="3" t="inlineStr">
        <is>
          <t>CGPP</t>
        </is>
      </c>
      <c r="C6" s="1" t="n"/>
      <c r="D6" s="3" t="inlineStr">
        <is>
          <t>LOG</t>
        </is>
      </c>
      <c r="E6" s="1" t="n"/>
      <c r="F6" s="1" t="n"/>
      <c r="G6" s="1" t="n"/>
      <c r="H6" s="3" t="inlineStr">
        <is>
          <t>Chambre de prière</t>
        </is>
      </c>
      <c r="I6" s="1" t="n"/>
      <c r="J6" s="3" t="inlineStr">
        <is>
          <t>Partenaires</t>
        </is>
      </c>
      <c r="K6" s="1" t="n"/>
      <c r="L6" s="1" t="n"/>
      <c r="M6" s="1" t="n"/>
      <c r="N6" s="3" t="inlineStr">
        <is>
          <t>Actions</t>
        </is>
      </c>
      <c r="O6" s="1" t="n"/>
    </row>
    <row r="7">
      <c r="A7" s="3" t="inlineStr">
        <is>
          <t>Sud-Kivu</t>
        </is>
      </c>
      <c r="B7" s="1" t="n"/>
      <c r="C7" s="1" t="n"/>
      <c r="D7" s="3" t="inlineStr">
        <is>
          <t>MEL</t>
        </is>
      </c>
      <c r="E7" s="1" t="n"/>
      <c r="F7" s="1" t="n"/>
      <c r="G7" s="1" t="n"/>
      <c r="H7" s="3" t="inlineStr">
        <is>
          <t>École</t>
        </is>
      </c>
      <c r="I7" s="1" t="n"/>
      <c r="J7" s="3" t="inlineStr">
        <is>
          <t>Interne CGPP</t>
        </is>
      </c>
      <c r="K7" s="1" t="n"/>
      <c r="L7" s="1" t="n"/>
      <c r="M7" s="1" t="n"/>
      <c r="N7" s="3" t="inlineStr">
        <is>
          <t>Commentaire</t>
        </is>
      </c>
      <c r="O7" s="1" t="n"/>
    </row>
    <row r="8">
      <c r="A8" s="3" t="inlineStr">
        <is>
          <t>Sud-Ubangi</t>
        </is>
      </c>
      <c r="B8" s="1" t="n"/>
      <c r="C8" s="1" t="n"/>
      <c r="D8" s="1" t="n"/>
      <c r="E8" s="1" t="n"/>
      <c r="F8" s="1" t="n"/>
      <c r="G8" s="1" t="n"/>
      <c r="H8" s="3" t="inlineStr">
        <is>
          <t>Marché</t>
        </is>
      </c>
      <c r="I8" s="1" t="n"/>
      <c r="J8" s="1" t="n"/>
      <c r="K8" s="1" t="n"/>
      <c r="L8" s="1" t="n"/>
      <c r="M8" s="1" t="n"/>
      <c r="N8" s="1" t="n"/>
      <c r="O8" s="1" t="n"/>
    </row>
    <row r="9">
      <c r="A9" s="1" t="n"/>
      <c r="B9" s="1" t="n"/>
      <c r="C9" s="1" t="n"/>
      <c r="D9" s="1" t="n"/>
      <c r="E9" s="1" t="n"/>
      <c r="F9" s="1" t="n"/>
      <c r="G9" s="1" t="n"/>
      <c r="H9" s="3" t="inlineStr">
        <is>
          <t>Rond-point</t>
        </is>
      </c>
      <c r="I9" s="1" t="n"/>
      <c r="J9" s="1" t="n"/>
      <c r="K9" s="1" t="n"/>
      <c r="L9" s="1" t="n"/>
      <c r="M9" s="1" t="n"/>
      <c r="N9" s="1" t="n"/>
      <c r="O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3" t="inlineStr">
        <is>
          <t>Radio</t>
        </is>
      </c>
      <c r="I10" s="1" t="n"/>
      <c r="J10" s="1" t="n"/>
      <c r="K10" s="1" t="n"/>
      <c r="L10" s="1" t="n"/>
      <c r="M10" s="1" t="n"/>
      <c r="N10" s="1" t="n"/>
      <c r="O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3" t="inlineStr">
        <is>
          <t>Site de guérison traditionnelle</t>
        </is>
      </c>
      <c r="I11" s="1" t="n"/>
      <c r="J11" s="1" t="n"/>
      <c r="K11" s="1" t="n"/>
      <c r="L11" s="1" t="n"/>
      <c r="M11" s="1" t="n"/>
      <c r="N11" s="1" t="n"/>
      <c r="O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3" t="inlineStr">
        <is>
          <t>Ferme laitière / centre d'engraissement</t>
        </is>
      </c>
      <c r="I12" s="1" t="n"/>
      <c r="J12" s="1" t="n"/>
      <c r="K12" s="1" t="n"/>
      <c r="L12" s="1" t="n"/>
      <c r="M12" s="1" t="n"/>
      <c r="N12" s="1" t="n"/>
      <c r="O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3" t="inlineStr">
        <is>
          <t>Point d'eau</t>
        </is>
      </c>
      <c r="I13" s="1" t="n"/>
      <c r="J13" s="1" t="n"/>
      <c r="K13" s="1" t="n"/>
      <c r="L13" s="1" t="n"/>
      <c r="M13" s="1" t="n"/>
      <c r="N13" s="1" t="n"/>
      <c r="O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3" t="inlineStr">
        <is>
          <t>Site de distribution alimentaire ou cash</t>
        </is>
      </c>
      <c r="I14" s="1" t="n"/>
      <c r="J14" s="1" t="n"/>
      <c r="K14" s="1" t="n"/>
      <c r="L14" s="1" t="n"/>
      <c r="M14" s="1" t="n"/>
      <c r="N14" s="1" t="n"/>
      <c r="O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3" t="inlineStr">
        <is>
          <t>Camp de réfugiés</t>
        </is>
      </c>
      <c r="I15" s="1" t="n"/>
      <c r="J15" s="1" t="n"/>
      <c r="K15" s="1" t="n"/>
      <c r="L15" s="1" t="n"/>
      <c r="M15" s="1" t="n"/>
      <c r="N15" s="1" t="n"/>
      <c r="O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3" t="inlineStr">
        <is>
          <t>Site de déplacés</t>
        </is>
      </c>
      <c r="I16" s="1" t="n"/>
      <c r="J16" s="1" t="n"/>
      <c r="K16" s="1" t="n"/>
      <c r="L16" s="1" t="n"/>
      <c r="M16" s="1" t="n"/>
      <c r="N16" s="1" t="n"/>
      <c r="O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3" t="inlineStr">
        <is>
          <t>Point d'entrée</t>
        </is>
      </c>
      <c r="I17" s="1" t="n"/>
      <c r="J17" s="1" t="n"/>
      <c r="K17" s="1" t="n"/>
      <c r="L17" s="1" t="n"/>
      <c r="M17" s="1" t="n"/>
      <c r="N17" s="1" t="n"/>
      <c r="O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3" t="inlineStr">
        <is>
          <t>Boucherie</t>
        </is>
      </c>
      <c r="I18" s="1" t="n"/>
      <c r="J18" s="1" t="n"/>
      <c r="K18" s="1" t="n"/>
      <c r="L18" s="1" t="n"/>
      <c r="M18" s="1" t="n"/>
      <c r="N18" s="1" t="n"/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3" t="inlineStr">
        <is>
          <t>Restaurant</t>
        </is>
      </c>
      <c r="I19" s="1" t="n"/>
      <c r="J19" s="1" t="n"/>
      <c r="K19" s="1" t="n"/>
      <c r="L19" s="1" t="n"/>
      <c r="M19" s="1" t="n"/>
      <c r="N19" s="1" t="n"/>
      <c r="O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3" t="inlineStr">
        <is>
          <t>Carré / site minier</t>
        </is>
      </c>
      <c r="I20" s="1" t="n"/>
      <c r="J20" s="1" t="n"/>
      <c r="K20" s="1" t="n"/>
      <c r="L20" s="1" t="n"/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3" t="inlineStr">
        <is>
          <t>Parking véhicules</t>
        </is>
      </c>
      <c r="I21" s="1" t="n"/>
      <c r="J21" s="1" t="n"/>
      <c r="K21" s="1" t="n"/>
      <c r="L21" s="1" t="n"/>
      <c r="M21" s="1" t="n"/>
      <c r="N21" s="1" t="n"/>
      <c r="O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3" t="inlineStr">
        <is>
          <t>Parking motos</t>
        </is>
      </c>
      <c r="I22" s="1" t="n"/>
      <c r="J22" s="1" t="n"/>
      <c r="K22" s="1" t="n"/>
      <c r="L22" s="1" t="n"/>
      <c r="M22" s="1" t="n"/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3" t="inlineStr">
        <is>
          <t>Autre</t>
        </is>
      </c>
      <c r="I23" s="1" t="n"/>
      <c r="J23" s="1" t="n"/>
      <c r="K23" s="1" t="n"/>
      <c r="L23" s="1" t="n"/>
      <c r="M23" s="1" t="n"/>
      <c r="N23" s="1" t="n"/>
      <c r="O23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2026-10-12T07:29:07Z</dcterms:created>
  <dcterms:modified xmlns:dcterms="http://purl.org/dc/terms/" xmlns:xsi="http://www.w3.org/2001/XMLSchema-instance" xsi:type="dcterms:W3CDTF">2026-10-12T07:29:07Z</dcterms:modified>
</cp:coreProperties>
</file>